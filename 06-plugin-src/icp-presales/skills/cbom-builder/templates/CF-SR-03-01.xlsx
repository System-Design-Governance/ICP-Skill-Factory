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tables/table7.xml" ContentType="application/vnd.openxmlformats-officedocument.spreadsheetml.table+xml"/>
  <Override PartName="/xl/comments1.xml" ContentType="application/vnd.openxmlformats-officedocument.spreadsheetml.comments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\\192.168.50.10\ch01_稽核室\內控辦法\CP-SR銷售及收款循環\表單\"/>
    </mc:Choice>
  </mc:AlternateContent>
  <xr:revisionPtr revIDLastSave="0" documentId="13_ncr:101_{7DA03B29-BB01-4FCB-8458-F6328DE36454}" xr6:coauthVersionLast="47" xr6:coauthVersionMax="47" xr10:uidLastSave="{00000000-0000-0000-0000-000000000000}"/>
  <bookViews>
    <workbookView xWindow="-28920" yWindow="-120" windowWidth="29040" windowHeight="15720" firstSheet="2" activeTab="2" xr2:uid="{00000000-000D-0000-FFFF-FFFF00000000}"/>
  </bookViews>
  <sheets>
    <sheet name="01參數設定" sheetId="4" r:id="rId1"/>
    <sheet name="03 成本統計表" sheetId="3" r:id="rId2"/>
    <sheet name="BOM" sheetId="1" r:id="rId3"/>
    <sheet name="報價分析" sheetId="10" r:id="rId4"/>
    <sheet name="標案分析" sheetId="11" r:id="rId5"/>
    <sheet name="計算" sheetId="2" state="hidden" r:id="rId6"/>
    <sheet name="管理分析" sheetId="12" r:id="rId7"/>
  </sheets>
  <externalReferences>
    <externalReference r:id="rId8"/>
    <externalReference r:id="rId9"/>
  </externalReferences>
  <definedNames>
    <definedName name="_xlnm.Print_Titles" localSheetId="2">BOM!$4:$4</definedName>
    <definedName name="名稱1" localSheetId="3">'[1]01參數設定'!#REF!</definedName>
    <definedName name="名稱1" localSheetId="4">'[2]01參數設定'!#REF!</definedName>
    <definedName name="名稱1">'01參數設定'!#REF!</definedName>
    <definedName name="標案分析表">'[1]01參數設定'!#REF!</definedName>
    <definedName name="標籤_本案及追加分析" localSheetId="3">[1]!表格_本案及追加分析[分類]</definedName>
    <definedName name="標籤_本案及追加分析" localSheetId="4">[1]!表格_本案及追加分析[分類]</definedName>
    <definedName name="標籤_本案及追加分析">表格_本案及追加分析[分類]</definedName>
    <definedName name="標籤_直接成本項目" localSheetId="3">[1]!表格_科目分類價格[分類]</definedName>
    <definedName name="標籤_直接成本項目" localSheetId="4">[2]!表格_科目分類價格[分類]</definedName>
    <definedName name="標籤_直接成本項目">表格_科目分類價格[分類]</definedName>
    <definedName name="標籤_群組分類項目" localSheetId="3">[1]!表格_群組分類價格[群組]</definedName>
    <definedName name="標籤_群組分類項目" localSheetId="4">[2]!表格_群組分類價格[群組]</definedName>
    <definedName name="標籤_群組分類項目">表格_群組分類價格[群組]</definedName>
    <definedName name="標籤_廠商分類" localSheetId="3">[1]!表格_廠商分類[公司名]</definedName>
    <definedName name="標籤_廠商分類" localSheetId="4">[2]!表格_廠商分類[公司名]</definedName>
    <definedName name="標籤_廠商分類">表格_廠商分類[公司名]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0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B40" i="1"/>
  <c r="B41" i="1"/>
  <c r="M16" i="1"/>
  <c r="B15" i="1"/>
  <c r="M15" i="1"/>
  <c r="M13" i="1"/>
  <c r="B12" i="1"/>
  <c r="M12" i="1"/>
  <c r="M7" i="1"/>
  <c r="B37" i="1" l="1"/>
  <c r="B38" i="1"/>
  <c r="B39" i="1"/>
  <c r="M37" i="1"/>
  <c r="M38" i="1"/>
  <c r="B29" i="1"/>
  <c r="B30" i="1"/>
  <c r="B31" i="1"/>
  <c r="M29" i="1"/>
  <c r="M30" i="1"/>
  <c r="M31" i="1"/>
  <c r="B32" i="1"/>
  <c r="M32" i="1"/>
  <c r="B33" i="1"/>
  <c r="M33" i="1"/>
  <c r="B42" i="1"/>
  <c r="M42" i="1"/>
  <c r="B27" i="1"/>
  <c r="B28" i="1"/>
  <c r="B34" i="1"/>
  <c r="M28" i="1"/>
  <c r="M34" i="1"/>
  <c r="B35" i="1"/>
  <c r="B36" i="1"/>
  <c r="M36" i="1"/>
  <c r="B43" i="1"/>
  <c r="M43" i="1"/>
  <c r="B9" i="1"/>
  <c r="B10" i="1"/>
  <c r="M9" i="1"/>
  <c r="M10" i="1"/>
  <c r="B2" i="1" l="1"/>
  <c r="B8" i="12" l="1"/>
  <c r="A3" i="10"/>
  <c r="I6" i="10" s="1"/>
  <c r="M25" i="1"/>
  <c r="B25" i="1"/>
  <c r="B23" i="1"/>
  <c r="B16" i="1"/>
  <c r="B7" i="1" l="1"/>
  <c r="B18" i="1"/>
  <c r="B19" i="1"/>
  <c r="B20" i="1"/>
  <c r="B21" i="1"/>
  <c r="B22" i="1"/>
  <c r="B24" i="1"/>
  <c r="B26" i="1"/>
  <c r="M18" i="1"/>
  <c r="M19" i="1"/>
  <c r="M20" i="1"/>
  <c r="M21" i="1"/>
  <c r="M22" i="1"/>
  <c r="L23" i="1" l="1"/>
  <c r="B6" i="1"/>
  <c r="A1" i="10"/>
  <c r="B4" i="11"/>
  <c r="B14" i="11" s="1"/>
  <c r="C14" i="11" s="1"/>
  <c r="A1" i="11"/>
  <c r="A16" i="11"/>
  <c r="A17" i="11" s="1"/>
  <c r="A18" i="11" s="1"/>
  <c r="A19" i="11" s="1"/>
  <c r="A20" i="11" s="1"/>
  <c r="A21" i="11" s="1"/>
  <c r="A15" i="11"/>
  <c r="B12" i="11" l="1"/>
  <c r="C12" i="11" s="1"/>
  <c r="B8" i="11"/>
  <c r="C8" i="11" s="1"/>
  <c r="B10" i="11"/>
  <c r="C10" i="11" s="1"/>
  <c r="B6" i="11"/>
  <c r="C6" i="11" s="1"/>
  <c r="M23" i="1"/>
  <c r="L24" i="1" s="1"/>
  <c r="A22" i="11"/>
  <c r="A23" i="11" s="1"/>
  <c r="A24" i="11" s="1"/>
  <c r="A25" i="11" s="1"/>
  <c r="A26" i="11" s="1"/>
  <c r="B21" i="11"/>
  <c r="B16" i="11"/>
  <c r="B23" i="11"/>
  <c r="B18" i="11"/>
  <c r="B25" i="11"/>
  <c r="B9" i="11"/>
  <c r="B20" i="11"/>
  <c r="B22" i="11"/>
  <c r="B11" i="11"/>
  <c r="B15" i="11"/>
  <c r="C4" i="11"/>
  <c r="B17" i="11"/>
  <c r="B24" i="11"/>
  <c r="B5" i="11"/>
  <c r="B7" i="11"/>
  <c r="B13" i="11"/>
  <c r="B19" i="11"/>
  <c r="C18" i="11" l="1"/>
  <c r="C16" i="11"/>
  <c r="C21" i="11"/>
  <c r="C19" i="11"/>
  <c r="C11" i="11"/>
  <c r="C7" i="11"/>
  <c r="C5" i="11"/>
  <c r="C22" i="11"/>
  <c r="C20" i="11"/>
  <c r="C9" i="11"/>
  <c r="C25" i="11"/>
  <c r="C15" i="11"/>
  <c r="C13" i="11"/>
  <c r="C24" i="11"/>
  <c r="C17" i="11"/>
  <c r="C23" i="11"/>
  <c r="B26" i="11"/>
  <c r="A27" i="11"/>
  <c r="B11" i="1"/>
  <c r="B13" i="1"/>
  <c r="B8" i="1"/>
  <c r="B17" i="1"/>
  <c r="B14" i="1"/>
  <c r="B5" i="1"/>
  <c r="E6" i="2" a="1"/>
  <c r="E6" i="2"/>
  <c r="L4" i="2"/>
  <c r="F6" i="2"/>
  <c r="G6" i="2"/>
  <c r="E7" i="2" a="1"/>
  <c r="E7" i="2"/>
  <c r="F7" i="2"/>
  <c r="G7" i="2"/>
  <c r="E8" i="2" a="1"/>
  <c r="E8" i="2"/>
  <c r="F8" i="2"/>
  <c r="G8" i="2"/>
  <c r="E9" i="2" a="1"/>
  <c r="E9" i="2"/>
  <c r="F9" i="2"/>
  <c r="G9" i="2"/>
  <c r="E10" i="2" a="1"/>
  <c r="E10" i="2"/>
  <c r="E11" i="2" a="1"/>
  <c r="E11" i="2"/>
  <c r="F11" i="2"/>
  <c r="G11" i="2"/>
  <c r="H6" i="2"/>
  <c r="I6" i="2"/>
  <c r="H9" i="2"/>
  <c r="I9" i="2"/>
  <c r="H7" i="2"/>
  <c r="I7" i="2"/>
  <c r="H8" i="2"/>
  <c r="I8" i="2"/>
  <c r="J6" i="2"/>
  <c r="M6" i="2"/>
  <c r="K6" i="2"/>
  <c r="E12" i="2" a="1"/>
  <c r="E12" i="2"/>
  <c r="F12" i="2"/>
  <c r="G12" i="2"/>
  <c r="K9" i="2"/>
  <c r="L9" i="2"/>
  <c r="J9" i="2"/>
  <c r="M9" i="2"/>
  <c r="F10" i="2"/>
  <c r="G10" i="2"/>
  <c r="J8" i="2"/>
  <c r="M8" i="2"/>
  <c r="K8" i="2"/>
  <c r="L8" i="2"/>
  <c r="J7" i="2"/>
  <c r="M7" i="2"/>
  <c r="K7" i="2"/>
  <c r="L7" i="2"/>
  <c r="E13" i="2" a="1"/>
  <c r="E13" i="2"/>
  <c r="F13" i="2"/>
  <c r="G13" i="2"/>
  <c r="L6" i="2"/>
  <c r="K3" i="2"/>
  <c r="L3" i="2"/>
  <c r="E14" i="2" a="1"/>
  <c r="E14" i="2"/>
  <c r="F14" i="2"/>
  <c r="G14" i="2"/>
  <c r="E15" i="2" a="1"/>
  <c r="E15" i="2"/>
  <c r="F15" i="2"/>
  <c r="G15" i="2"/>
  <c r="E16" i="2" a="1"/>
  <c r="E16" i="2"/>
  <c r="F16" i="2"/>
  <c r="G16" i="2"/>
  <c r="E17" i="2" a="1"/>
  <c r="E17" i="2"/>
  <c r="F17" i="2"/>
  <c r="G17" i="2"/>
  <c r="E18" i="2" a="1"/>
  <c r="E18" i="2"/>
  <c r="F18" i="2"/>
  <c r="G18" i="2"/>
  <c r="E19" i="2" a="1"/>
  <c r="E19" i="2"/>
  <c r="F19" i="2"/>
  <c r="G19" i="2"/>
  <c r="E20" i="2" a="1"/>
  <c r="E20" i="2"/>
  <c r="F20" i="2"/>
  <c r="G20" i="2"/>
  <c r="E21" i="2" a="1"/>
  <c r="E21" i="2"/>
  <c r="F21" i="2"/>
  <c r="G21" i="2"/>
  <c r="C26" i="11" l="1"/>
  <c r="A28" i="11"/>
  <c r="B27" i="11"/>
  <c r="A29" i="11" l="1"/>
  <c r="B28" i="11"/>
  <c r="C27" i="11"/>
  <c r="C28" i="11" l="1"/>
  <c r="A30" i="11"/>
  <c r="B29" i="11"/>
  <c r="C29" i="11" l="1"/>
  <c r="A31" i="11"/>
  <c r="B30" i="11"/>
  <c r="C30" i="11" l="1"/>
  <c r="A32" i="11"/>
  <c r="B31" i="11"/>
  <c r="C31" i="11" l="1"/>
  <c r="A33" i="11"/>
  <c r="B32" i="11"/>
  <c r="C32" i="11" l="1"/>
  <c r="A34" i="11"/>
  <c r="B33" i="11"/>
  <c r="A35" i="11" l="1"/>
  <c r="B34" i="11"/>
  <c r="C33" i="11"/>
  <c r="C34" i="11" l="1"/>
  <c r="A36" i="11"/>
  <c r="B35" i="11"/>
  <c r="A37" i="11" l="1"/>
  <c r="B36" i="11"/>
  <c r="C35" i="11"/>
  <c r="C36" i="11" l="1"/>
  <c r="A38" i="11"/>
  <c r="B37" i="11"/>
  <c r="C37" i="11" l="1"/>
  <c r="A39" i="11"/>
  <c r="B38" i="11"/>
  <c r="C38" i="11" l="1"/>
  <c r="A40" i="11"/>
  <c r="B39" i="11"/>
  <c r="C39" i="11" l="1"/>
  <c r="A41" i="11"/>
  <c r="B40" i="11"/>
  <c r="C40" i="11" l="1"/>
  <c r="A42" i="11"/>
  <c r="B41" i="11"/>
  <c r="C41" i="11" l="1"/>
  <c r="A43" i="11"/>
  <c r="B42" i="11"/>
  <c r="C42" i="11" l="1"/>
  <c r="A44" i="11"/>
  <c r="B44" i="11" s="1"/>
  <c r="B43" i="11"/>
  <c r="C43" i="11" l="1"/>
  <c r="C44" i="11"/>
  <c r="M24" i="1"/>
  <c r="L26" i="1" s="1"/>
  <c r="M26" i="1" l="1"/>
  <c r="E36" i="3" s="1" a="1"/>
  <c r="E36" i="3" s="1"/>
  <c r="F36" i="3" s="1"/>
  <c r="E40" i="3" a="1"/>
  <c r="E40" i="3" s="1"/>
  <c r="F40" i="3" s="1"/>
  <c r="E29" i="3" a="1"/>
  <c r="E29" i="3" s="1"/>
  <c r="F29" i="3" s="1"/>
  <c r="E3" i="3" a="1"/>
  <c r="E3" i="3" s="1"/>
  <c r="E50" i="3" a="1"/>
  <c r="E50" i="3" s="1"/>
  <c r="F50" i="3" s="1"/>
  <c r="E59" i="3" l="1" a="1"/>
  <c r="E59" i="3" s="1"/>
  <c r="F59" i="3" s="1"/>
  <c r="E35" i="3" a="1"/>
  <c r="E35" i="3" s="1"/>
  <c r="F35" i="3" s="1"/>
  <c r="E60" i="3" a="1"/>
  <c r="E60" i="3" s="1"/>
  <c r="F60" i="3" s="1"/>
  <c r="E44" i="3" a="1"/>
  <c r="E44" i="3" s="1"/>
  <c r="F44" i="3" s="1"/>
  <c r="E49" i="3" a="1"/>
  <c r="E49" i="3" s="1"/>
  <c r="F49" i="3" s="1"/>
  <c r="E39" i="3" a="1"/>
  <c r="E39" i="3" s="1"/>
  <c r="F39" i="3" s="1"/>
  <c r="E9" i="3" a="1"/>
  <c r="E9" i="3" s="1"/>
  <c r="F9" i="3" s="1"/>
  <c r="E53" i="3" a="1"/>
  <c r="E53" i="3" s="1"/>
  <c r="F53" i="3" s="1"/>
  <c r="E6" i="3" a="1"/>
  <c r="E6" i="3" s="1"/>
  <c r="F6" i="3" s="1"/>
  <c r="E21" i="3" a="1"/>
  <c r="E21" i="3" s="1"/>
  <c r="F21" i="3" s="1"/>
  <c r="E46" i="3" a="1"/>
  <c r="E46" i="3" s="1"/>
  <c r="F46" i="3" s="1"/>
  <c r="E37" i="3" a="1"/>
  <c r="E37" i="3" s="1"/>
  <c r="F37" i="3" s="1"/>
  <c r="E13" i="3" a="1"/>
  <c r="E13" i="3" s="1"/>
  <c r="F13" i="3" s="1"/>
  <c r="E15" i="3" a="1"/>
  <c r="E15" i="3" s="1"/>
  <c r="F15" i="3" s="1"/>
  <c r="E33" i="3" a="1"/>
  <c r="E33" i="3" s="1"/>
  <c r="F33" i="3" s="1"/>
  <c r="E14" i="3" a="1"/>
  <c r="E14" i="3" s="1"/>
  <c r="F14" i="3" s="1"/>
  <c r="B3" i="12" s="1"/>
  <c r="E5" i="3" a="1"/>
  <c r="E5" i="3" s="1"/>
  <c r="F5" i="3" s="1"/>
  <c r="E7" i="3" a="1"/>
  <c r="E7" i="3" s="1"/>
  <c r="F7" i="3" s="1"/>
  <c r="E61" i="3" a="1"/>
  <c r="E61" i="3" s="1"/>
  <c r="F61" i="3" s="1"/>
  <c r="E12" i="3" a="1"/>
  <c r="E12" i="3" s="1"/>
  <c r="F12" i="3" s="1"/>
  <c r="B5" i="12" s="1"/>
  <c r="E52" i="3" a="1"/>
  <c r="E52" i="3" s="1"/>
  <c r="F52" i="3" s="1"/>
  <c r="E10" i="3" a="1"/>
  <c r="E10" i="3" s="1"/>
  <c r="F10" i="3" s="1"/>
  <c r="E51" i="3" a="1"/>
  <c r="E51" i="3" s="1"/>
  <c r="F51" i="3" s="1"/>
  <c r="E8" i="3" a="1"/>
  <c r="E8" i="3" s="1"/>
  <c r="F8" i="3" s="1"/>
  <c r="E54" i="3" a="1"/>
  <c r="E54" i="3" s="1"/>
  <c r="F54" i="3" s="1"/>
  <c r="E11" i="3" a="1"/>
  <c r="E11" i="3" s="1"/>
  <c r="F11" i="3" s="1"/>
  <c r="E42" i="3" a="1"/>
  <c r="E42" i="3" s="1"/>
  <c r="F42" i="3" s="1"/>
  <c r="E30" i="3" a="1"/>
  <c r="E30" i="3" s="1"/>
  <c r="F30" i="3" s="1"/>
  <c r="E24" i="3" a="1"/>
  <c r="E24" i="3" s="1"/>
  <c r="F24" i="3" s="1"/>
  <c r="E45" i="3" a="1"/>
  <c r="E45" i="3" s="1"/>
  <c r="F45" i="3" s="1"/>
  <c r="E41" i="3" a="1"/>
  <c r="E41" i="3" s="1"/>
  <c r="F41" i="3" s="1"/>
  <c r="E31" i="3" a="1"/>
  <c r="E31" i="3" s="1"/>
  <c r="F31" i="3" s="1"/>
  <c r="E32" i="3" a="1"/>
  <c r="E32" i="3" s="1"/>
  <c r="F32" i="3" s="1"/>
  <c r="E48" i="3" a="1"/>
  <c r="E48" i="3" s="1"/>
  <c r="F48" i="3" s="1"/>
  <c r="E38" i="3" a="1"/>
  <c r="E38" i="3" s="1"/>
  <c r="F38" i="3" s="1"/>
  <c r="E4" i="3" a="1"/>
  <c r="E4" i="3" s="1"/>
  <c r="F4" i="3" s="1"/>
  <c r="E20" i="3" a="1"/>
  <c r="E20" i="3" s="1"/>
  <c r="F20" i="3" s="1"/>
  <c r="E34" i="3" a="1"/>
  <c r="E34" i="3" s="1"/>
  <c r="F34" i="3" s="1"/>
  <c r="E43" i="3" a="1"/>
  <c r="E43" i="3" s="1"/>
  <c r="F43" i="3" s="1"/>
  <c r="E23" i="3" a="1"/>
  <c r="E23" i="3" s="1"/>
  <c r="F23" i="3" s="1"/>
  <c r="E47" i="3" a="1"/>
  <c r="E47" i="3" s="1"/>
  <c r="F47" i="3" s="1"/>
  <c r="E22" i="3" a="1"/>
  <c r="E22" i="3" s="1"/>
  <c r="F22" i="3" s="1"/>
  <c r="M44" i="1"/>
  <c r="A54" i="10" s="1"/>
  <c r="F3" i="3"/>
  <c r="B6" i="12"/>
  <c r="B7" i="12" s="1"/>
  <c r="F62" i="3" l="1"/>
  <c r="G59" i="3" s="1"/>
  <c r="F25" i="3"/>
  <c r="G22" i="3" s="1"/>
  <c r="B2" i="12"/>
  <c r="F55" i="3"/>
  <c r="G40" i="3" s="1"/>
  <c r="B4" i="12"/>
  <c r="I2" i="10"/>
  <c r="I7" i="10" s="1"/>
  <c r="L1" i="10"/>
  <c r="I8" i="10" s="1"/>
  <c r="H3" i="11"/>
  <c r="H14" i="11" s="1"/>
  <c r="I14" i="11" s="1"/>
  <c r="A19" i="10"/>
  <c r="D19" i="10" s="1"/>
  <c r="E19" i="10" s="1"/>
  <c r="A9" i="10"/>
  <c r="D9" i="10" s="1"/>
  <c r="E9" i="10" s="1"/>
  <c r="A21" i="10"/>
  <c r="D21" i="10" s="1"/>
  <c r="E21" i="10" s="1"/>
  <c r="A65" i="10"/>
  <c r="D65" i="10" s="1"/>
  <c r="E65" i="10" s="1"/>
  <c r="A51" i="10"/>
  <c r="B51" i="10" s="1"/>
  <c r="C51" i="10" s="1"/>
  <c r="A4" i="10"/>
  <c r="B4" i="10" s="1"/>
  <c r="C4" i="10" s="1"/>
  <c r="A60" i="10"/>
  <c r="D60" i="10" s="1"/>
  <c r="E60" i="10" s="1"/>
  <c r="A16" i="10"/>
  <c r="D16" i="10" s="1"/>
  <c r="E16" i="10" s="1"/>
  <c r="A5" i="10"/>
  <c r="B5" i="10" s="1"/>
  <c r="C5" i="10" s="1"/>
  <c r="A27" i="10"/>
  <c r="B27" i="10" s="1"/>
  <c r="C27" i="10" s="1"/>
  <c r="A55" i="10"/>
  <c r="D55" i="10" s="1"/>
  <c r="E55" i="10" s="1"/>
  <c r="A39" i="10"/>
  <c r="B39" i="10" s="1"/>
  <c r="C39" i="10" s="1"/>
  <c r="A69" i="10"/>
  <c r="D69" i="10" s="1"/>
  <c r="E69" i="10" s="1"/>
  <c r="A64" i="10"/>
  <c r="D64" i="10" s="1"/>
  <c r="E64" i="10" s="1"/>
  <c r="A25" i="10"/>
  <c r="B25" i="10" s="1"/>
  <c r="C25" i="10" s="1"/>
  <c r="A11" i="10"/>
  <c r="B11" i="10" s="1"/>
  <c r="C11" i="10" s="1"/>
  <c r="A56" i="10"/>
  <c r="D56" i="10" s="1"/>
  <c r="E56" i="10" s="1"/>
  <c r="F3" i="11"/>
  <c r="G33" i="11" s="1"/>
  <c r="A13" i="10"/>
  <c r="D13" i="10" s="1"/>
  <c r="E13" i="10" s="1"/>
  <c r="A57" i="10"/>
  <c r="D57" i="10" s="1"/>
  <c r="E57" i="10" s="1"/>
  <c r="A23" i="10"/>
  <c r="D23" i="10" s="1"/>
  <c r="E23" i="10" s="1"/>
  <c r="A72" i="10"/>
  <c r="B72" i="10" s="1"/>
  <c r="C72" i="10" s="1"/>
  <c r="A26" i="10"/>
  <c r="D26" i="10" s="1"/>
  <c r="E26" i="10" s="1"/>
  <c r="A15" i="10"/>
  <c r="B15" i="10" s="1"/>
  <c r="C15" i="10" s="1"/>
  <c r="A8" i="10"/>
  <c r="D8" i="10" s="1"/>
  <c r="E8" i="10" s="1"/>
  <c r="A58" i="10"/>
  <c r="D58" i="10" s="1"/>
  <c r="E58" i="10" s="1"/>
  <c r="A47" i="10"/>
  <c r="B47" i="10" s="1"/>
  <c r="C47" i="10" s="1"/>
  <c r="A42" i="10"/>
  <c r="D42" i="10" s="1"/>
  <c r="E42" i="10" s="1"/>
  <c r="A62" i="10"/>
  <c r="D62" i="10" s="1"/>
  <c r="E62" i="10" s="1"/>
  <c r="A17" i="10"/>
  <c r="B17" i="10" s="1"/>
  <c r="C17" i="10" s="1"/>
  <c r="A52" i="10"/>
  <c r="D52" i="10" s="1"/>
  <c r="E52" i="10" s="1"/>
  <c r="A68" i="10"/>
  <c r="B68" i="10" s="1"/>
  <c r="C68" i="10" s="1"/>
  <c r="A24" i="10"/>
  <c r="B24" i="10" s="1"/>
  <c r="C24" i="10" s="1"/>
  <c r="A30" i="10"/>
  <c r="B30" i="10" s="1"/>
  <c r="C30" i="10" s="1"/>
  <c r="A70" i="10"/>
  <c r="D70" i="10" s="1"/>
  <c r="E70" i="10" s="1"/>
  <c r="A6" i="10"/>
  <c r="B6" i="10" s="1"/>
  <c r="C6" i="10" s="1"/>
  <c r="A41" i="10"/>
  <c r="B41" i="10" s="1"/>
  <c r="C41" i="10" s="1"/>
  <c r="A43" i="10"/>
  <c r="B43" i="10" s="1"/>
  <c r="C43" i="10" s="1"/>
  <c r="A7" i="10"/>
  <c r="D7" i="10" s="1"/>
  <c r="E7" i="10" s="1"/>
  <c r="A53" i="10"/>
  <c r="D53" i="10" s="1"/>
  <c r="E53" i="10" s="1"/>
  <c r="A38" i="10"/>
  <c r="D38" i="10" s="1"/>
  <c r="E38" i="10" s="1"/>
  <c r="A40" i="10"/>
  <c r="B40" i="10" s="1"/>
  <c r="C40" i="10" s="1"/>
  <c r="A31" i="10"/>
  <c r="B31" i="10" s="1"/>
  <c r="C31" i="10" s="1"/>
  <c r="A29" i="10"/>
  <c r="D29" i="10" s="1"/>
  <c r="E29" i="10" s="1"/>
  <c r="A49" i="10"/>
  <c r="B49" i="10" s="1"/>
  <c r="C49" i="10" s="1"/>
  <c r="A32" i="10"/>
  <c r="B32" i="10" s="1"/>
  <c r="C32" i="10" s="1"/>
  <c r="A67" i="10"/>
  <c r="D67" i="10" s="1"/>
  <c r="E67" i="10" s="1"/>
  <c r="A37" i="10"/>
  <c r="B37" i="10" s="1"/>
  <c r="C37" i="10" s="1"/>
  <c r="A71" i="10"/>
  <c r="D71" i="10" s="1"/>
  <c r="E71" i="10" s="1"/>
  <c r="B3" i="10"/>
  <c r="I11" i="10" s="1"/>
  <c r="A66" i="10"/>
  <c r="D66" i="10" s="1"/>
  <c r="E66" i="10" s="1"/>
  <c r="A12" i="10"/>
  <c r="B12" i="10" s="1"/>
  <c r="C12" i="10" s="1"/>
  <c r="A22" i="10"/>
  <c r="B22" i="10" s="1"/>
  <c r="C22" i="10" s="1"/>
  <c r="A63" i="10"/>
  <c r="B63" i="10" s="1"/>
  <c r="C63" i="10" s="1"/>
  <c r="A50" i="10"/>
  <c r="B50" i="10" s="1"/>
  <c r="C50" i="10" s="1"/>
  <c r="A45" i="10"/>
  <c r="B45" i="10" s="1"/>
  <c r="C45" i="10" s="1"/>
  <c r="A73" i="10"/>
  <c r="D73" i="10" s="1"/>
  <c r="E73" i="10" s="1"/>
  <c r="A44" i="10"/>
  <c r="B44" i="10" s="1"/>
  <c r="C44" i="10" s="1"/>
  <c r="A61" i="10"/>
  <c r="B61" i="10" s="1"/>
  <c r="C61" i="10" s="1"/>
  <c r="A14" i="10"/>
  <c r="B14" i="10" s="1"/>
  <c r="C14" i="10" s="1"/>
  <c r="A36" i="10"/>
  <c r="D36" i="10" s="1"/>
  <c r="E36" i="10" s="1"/>
  <c r="A59" i="10"/>
  <c r="D59" i="10" s="1"/>
  <c r="E59" i="10" s="1"/>
  <c r="A18" i="10"/>
  <c r="D18" i="10" s="1"/>
  <c r="E18" i="10" s="1"/>
  <c r="A35" i="10"/>
  <c r="D35" i="10" s="1"/>
  <c r="E35" i="10" s="1"/>
  <c r="A33" i="10"/>
  <c r="D33" i="10" s="1"/>
  <c r="E33" i="10" s="1"/>
  <c r="A20" i="10"/>
  <c r="D20" i="10" s="1"/>
  <c r="E20" i="10" s="1"/>
  <c r="A48" i="10"/>
  <c r="B48" i="10" s="1"/>
  <c r="C48" i="10" s="1"/>
  <c r="A10" i="10"/>
  <c r="B10" i="10" s="1"/>
  <c r="C10" i="10" s="1"/>
  <c r="A46" i="10"/>
  <c r="B46" i="10" s="1"/>
  <c r="C46" i="10" s="1"/>
  <c r="A28" i="10"/>
  <c r="B28" i="10" s="1"/>
  <c r="C28" i="10" s="1"/>
  <c r="A34" i="10"/>
  <c r="B34" i="10" s="1"/>
  <c r="C34" i="10" s="1"/>
  <c r="F16" i="3"/>
  <c r="G3" i="3" s="1"/>
  <c r="G20" i="3"/>
  <c r="B69" i="10"/>
  <c r="C69" i="10" s="1"/>
  <c r="G24" i="3"/>
  <c r="G23" i="3"/>
  <c r="G21" i="3"/>
  <c r="D3" i="10"/>
  <c r="D54" i="10"/>
  <c r="E54" i="10" s="1"/>
  <c r="B54" i="10"/>
  <c r="C54" i="10" s="1"/>
  <c r="G50" i="3" l="1"/>
  <c r="G38" i="3"/>
  <c r="G44" i="3"/>
  <c r="G52" i="3"/>
  <c r="G54" i="3"/>
  <c r="G61" i="3"/>
  <c r="G60" i="3"/>
  <c r="H13" i="11"/>
  <c r="I13" i="11" s="1"/>
  <c r="H38" i="11"/>
  <c r="I38" i="11" s="1"/>
  <c r="H17" i="11"/>
  <c r="I17" i="11" s="1"/>
  <c r="H24" i="11"/>
  <c r="I24" i="11" s="1"/>
  <c r="D39" i="10"/>
  <c r="E39" i="10" s="1"/>
  <c r="D32" i="10"/>
  <c r="E32" i="10" s="1"/>
  <c r="H19" i="11"/>
  <c r="I19" i="11" s="1"/>
  <c r="G43" i="3"/>
  <c r="H7" i="11"/>
  <c r="I7" i="11" s="1"/>
  <c r="H41" i="11"/>
  <c r="I41" i="11" s="1"/>
  <c r="G29" i="3"/>
  <c r="H31" i="11"/>
  <c r="I31" i="11" s="1"/>
  <c r="H9" i="11"/>
  <c r="I9" i="11" s="1"/>
  <c r="G41" i="3"/>
  <c r="H15" i="11"/>
  <c r="I15" i="11" s="1"/>
  <c r="G39" i="3"/>
  <c r="H33" i="11"/>
  <c r="I33" i="11" s="1"/>
  <c r="B9" i="10"/>
  <c r="C9" i="10" s="1"/>
  <c r="H43" i="11"/>
  <c r="I43" i="11" s="1"/>
  <c r="B55" i="10"/>
  <c r="C55" i="10" s="1"/>
  <c r="G35" i="3"/>
  <c r="G51" i="3"/>
  <c r="G30" i="3"/>
  <c r="H11" i="11"/>
  <c r="I11" i="11" s="1"/>
  <c r="H40" i="11"/>
  <c r="I40" i="11" s="1"/>
  <c r="H44" i="11"/>
  <c r="I44" i="11" s="1"/>
  <c r="H22" i="11"/>
  <c r="I22" i="11" s="1"/>
  <c r="H29" i="11"/>
  <c r="I29" i="11" s="1"/>
  <c r="H28" i="11"/>
  <c r="I28" i="11" s="1"/>
  <c r="H12" i="11"/>
  <c r="I12" i="11" s="1"/>
  <c r="H36" i="11"/>
  <c r="I36" i="11" s="1"/>
  <c r="H26" i="11"/>
  <c r="I26" i="11" s="1"/>
  <c r="H37" i="11"/>
  <c r="I37" i="11" s="1"/>
  <c r="H6" i="11"/>
  <c r="I6" i="11" s="1"/>
  <c r="H5" i="11"/>
  <c r="I5" i="11" s="1"/>
  <c r="D10" i="10"/>
  <c r="E10" i="10" s="1"/>
  <c r="H30" i="11"/>
  <c r="I30" i="11" s="1"/>
  <c r="H25" i="11"/>
  <c r="I25" i="11" s="1"/>
  <c r="H10" i="11"/>
  <c r="I10" i="11" s="1"/>
  <c r="H16" i="11"/>
  <c r="I16" i="11" s="1"/>
  <c r="H39" i="11"/>
  <c r="I39" i="11" s="1"/>
  <c r="H35" i="11"/>
  <c r="I35" i="11" s="1"/>
  <c r="H20" i="11"/>
  <c r="I20" i="11" s="1"/>
  <c r="H21" i="11"/>
  <c r="I21" i="11" s="1"/>
  <c r="H42" i="11"/>
  <c r="I42" i="11" s="1"/>
  <c r="H27" i="11"/>
  <c r="I27" i="11" s="1"/>
  <c r="H32" i="11"/>
  <c r="I32" i="11" s="1"/>
  <c r="H8" i="11"/>
  <c r="I8" i="11" s="1"/>
  <c r="H18" i="11"/>
  <c r="I18" i="11" s="1"/>
  <c r="F40" i="11"/>
  <c r="H34" i="11"/>
  <c r="I34" i="11" s="1"/>
  <c r="H23" i="11"/>
  <c r="I23" i="11" s="1"/>
  <c r="G62" i="3"/>
  <c r="F35" i="11"/>
  <c r="G8" i="11"/>
  <c r="G42" i="11"/>
  <c r="G13" i="11"/>
  <c r="F11" i="11"/>
  <c r="F14" i="11"/>
  <c r="F6" i="11"/>
  <c r="G44" i="11"/>
  <c r="G5" i="11"/>
  <c r="G16" i="11"/>
  <c r="G43" i="11"/>
  <c r="B21" i="10"/>
  <c r="C21" i="10" s="1"/>
  <c r="F17" i="11"/>
  <c r="G41" i="11"/>
  <c r="G36" i="11"/>
  <c r="G7" i="11"/>
  <c r="G32" i="11"/>
  <c r="G23" i="11"/>
  <c r="B23" i="10"/>
  <c r="C23" i="10" s="1"/>
  <c r="G37" i="11"/>
  <c r="F9" i="11"/>
  <c r="D24" i="10"/>
  <c r="E24" i="10" s="1"/>
  <c r="G29" i="11"/>
  <c r="G28" i="11"/>
  <c r="G34" i="11"/>
  <c r="G34" i="3"/>
  <c r="G45" i="3"/>
  <c r="G48" i="3"/>
  <c r="G37" i="3"/>
  <c r="B70" i="10"/>
  <c r="C70" i="10" s="1"/>
  <c r="G46" i="3"/>
  <c r="G32" i="3"/>
  <c r="G36" i="3"/>
  <c r="G31" i="3"/>
  <c r="G49" i="3"/>
  <c r="G33" i="3"/>
  <c r="G42" i="3"/>
  <c r="F25" i="11"/>
  <c r="G53" i="3"/>
  <c r="F31" i="11"/>
  <c r="G47" i="3"/>
  <c r="F30" i="11"/>
  <c r="F15" i="11"/>
  <c r="F38" i="11"/>
  <c r="G24" i="11"/>
  <c r="F5" i="11"/>
  <c r="F24" i="11"/>
  <c r="F28" i="11"/>
  <c r="F18" i="11"/>
  <c r="F20" i="11"/>
  <c r="G38" i="11"/>
  <c r="D30" i="10"/>
  <c r="E30" i="10" s="1"/>
  <c r="C3" i="10"/>
  <c r="I10" i="10" s="1"/>
  <c r="D6" i="10"/>
  <c r="E6" i="10" s="1"/>
  <c r="F34" i="11"/>
  <c r="F21" i="11"/>
  <c r="F16" i="11"/>
  <c r="B13" i="10"/>
  <c r="C13" i="10" s="1"/>
  <c r="B57" i="10"/>
  <c r="C57" i="10" s="1"/>
  <c r="B20" i="10"/>
  <c r="C20" i="10" s="1"/>
  <c r="D12" i="10"/>
  <c r="E12" i="10" s="1"/>
  <c r="F41" i="11"/>
  <c r="G12" i="11"/>
  <c r="F26" i="11"/>
  <c r="G27" i="11"/>
  <c r="G30" i="11"/>
  <c r="G40" i="11"/>
  <c r="G14" i="11"/>
  <c r="F22" i="11"/>
  <c r="G31" i="11"/>
  <c r="B42" i="10"/>
  <c r="C42" i="10" s="1"/>
  <c r="D14" i="10"/>
  <c r="E14" i="10" s="1"/>
  <c r="G10" i="11"/>
  <c r="F13" i="11"/>
  <c r="G11" i="11"/>
  <c r="D31" i="10"/>
  <c r="E31" i="10" s="1"/>
  <c r="D61" i="10"/>
  <c r="E61" i="10" s="1"/>
  <c r="D44" i="10"/>
  <c r="E44" i="10" s="1"/>
  <c r="D47" i="10"/>
  <c r="E47" i="10" s="1"/>
  <c r="D27" i="10"/>
  <c r="E27" i="10" s="1"/>
  <c r="D40" i="10"/>
  <c r="E40" i="10" s="1"/>
  <c r="D41" i="10"/>
  <c r="E41" i="10" s="1"/>
  <c r="D50" i="10"/>
  <c r="E50" i="10" s="1"/>
  <c r="D4" i="10"/>
  <c r="E4" i="10" s="1"/>
  <c r="B56" i="10"/>
  <c r="C56" i="10" s="1"/>
  <c r="D17" i="10"/>
  <c r="E17" i="10" s="1"/>
  <c r="B66" i="10"/>
  <c r="C66" i="10" s="1"/>
  <c r="D43" i="10"/>
  <c r="E43" i="10" s="1"/>
  <c r="B67" i="10"/>
  <c r="C67" i="10" s="1"/>
  <c r="B58" i="10"/>
  <c r="C58" i="10" s="1"/>
  <c r="D49" i="10"/>
  <c r="E49" i="10" s="1"/>
  <c r="G18" i="11"/>
  <c r="F27" i="11"/>
  <c r="G17" i="11"/>
  <c r="F23" i="11"/>
  <c r="F44" i="11"/>
  <c r="F29" i="11"/>
  <c r="F32" i="11"/>
  <c r="G15" i="11"/>
  <c r="G35" i="11"/>
  <c r="F8" i="11"/>
  <c r="D51" i="10"/>
  <c r="E51" i="10" s="1"/>
  <c r="F19" i="11"/>
  <c r="F39" i="11"/>
  <c r="G22" i="11"/>
  <c r="F43" i="11"/>
  <c r="G26" i="11"/>
  <c r="F36" i="11"/>
  <c r="G6" i="11"/>
  <c r="F12" i="11"/>
  <c r="F42" i="11"/>
  <c r="G25" i="11"/>
  <c r="B53" i="10"/>
  <c r="C53" i="10" s="1"/>
  <c r="D28" i="10"/>
  <c r="E28" i="10" s="1"/>
  <c r="D34" i="10"/>
  <c r="E34" i="10" s="1"/>
  <c r="B64" i="10"/>
  <c r="C64" i="10" s="1"/>
  <c r="G21" i="11"/>
  <c r="F37" i="11"/>
  <c r="G20" i="11"/>
  <c r="G39" i="11"/>
  <c r="F10" i="11"/>
  <c r="G19" i="11"/>
  <c r="G9" i="11"/>
  <c r="F33" i="11"/>
  <c r="F7" i="11"/>
  <c r="B71" i="10"/>
  <c r="C71" i="10" s="1"/>
  <c r="D5" i="10"/>
  <c r="E5" i="10" s="1"/>
  <c r="B65" i="10"/>
  <c r="C65" i="10" s="1"/>
  <c r="B33" i="10"/>
  <c r="C33" i="10" s="1"/>
  <c r="B29" i="10"/>
  <c r="C29" i="10" s="1"/>
  <c r="B8" i="10"/>
  <c r="C8" i="10" s="1"/>
  <c r="D46" i="10"/>
  <c r="E46" i="10" s="1"/>
  <c r="D45" i="10"/>
  <c r="E45" i="10" s="1"/>
  <c r="B62" i="10"/>
  <c r="C62" i="10" s="1"/>
  <c r="D15" i="10"/>
  <c r="E15" i="10" s="1"/>
  <c r="B36" i="10"/>
  <c r="C36" i="10" s="1"/>
  <c r="B19" i="10"/>
  <c r="C19" i="10" s="1"/>
  <c r="D22" i="10"/>
  <c r="E22" i="10" s="1"/>
  <c r="B73" i="10"/>
  <c r="C73" i="10" s="1"/>
  <c r="B38" i="10"/>
  <c r="C38" i="10" s="1"/>
  <c r="D25" i="10"/>
  <c r="E25" i="10" s="1"/>
  <c r="D72" i="10"/>
  <c r="E72" i="10" s="1"/>
  <c r="B26" i="10"/>
  <c r="C26" i="10" s="1"/>
  <c r="B59" i="10"/>
  <c r="C59" i="10" s="1"/>
  <c r="D11" i="10"/>
  <c r="E11" i="10" s="1"/>
  <c r="B18" i="10"/>
  <c r="C18" i="10" s="1"/>
  <c r="B60" i="10"/>
  <c r="C60" i="10" s="1"/>
  <c r="B52" i="10"/>
  <c r="C52" i="10" s="1"/>
  <c r="B7" i="10"/>
  <c r="C7" i="10" s="1"/>
  <c r="D63" i="10"/>
  <c r="E63" i="10" s="1"/>
  <c r="B35" i="10"/>
  <c r="C35" i="10" s="1"/>
  <c r="D37" i="10"/>
  <c r="E37" i="10" s="1"/>
  <c r="B16" i="10"/>
  <c r="C16" i="10" s="1"/>
  <c r="D68" i="10"/>
  <c r="E68" i="10" s="1"/>
  <c r="D48" i="10"/>
  <c r="E48" i="10" s="1"/>
  <c r="E3" i="10"/>
  <c r="I12" i="10" s="1"/>
  <c r="I13" i="10"/>
  <c r="G25" i="3"/>
  <c r="I1" i="10"/>
  <c r="I9" i="10" s="1"/>
  <c r="G4" i="3"/>
  <c r="G9" i="3"/>
  <c r="G5" i="3"/>
  <c r="G12" i="3"/>
  <c r="G8" i="3"/>
  <c r="G6" i="3"/>
  <c r="G7" i="3"/>
  <c r="G13" i="3"/>
  <c r="G15" i="3"/>
  <c r="G11" i="3"/>
  <c r="G14" i="3"/>
  <c r="G10" i="3"/>
  <c r="G55" i="3" l="1"/>
  <c r="G16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4" authorId="0" shapeId="0" xr:uid="{00000000-0006-0000-0100-000002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  <r>
          <rPr>
            <sz val="10"/>
            <color rgb="FF000000"/>
            <rFont val="Euphemia"/>
            <family val="2"/>
            <scheme val="minor"/>
          </rPr>
          <t>規格</t>
        </r>
        <r>
          <rPr>
            <sz val="10"/>
            <color rgb="FF000000"/>
            <rFont val="Microsoft JhengHei UI"/>
            <family val="2"/>
            <charset val="136"/>
          </rPr>
          <t>/</t>
        </r>
        <r>
          <rPr>
            <sz val="10"/>
            <color rgb="FF000000"/>
            <rFont val="Euphemia"/>
            <family val="2"/>
            <scheme val="minor"/>
          </rPr>
          <t>說明</t>
        </r>
      </text>
    </comment>
    <comment ref="I4" authorId="0" shapeId="0" xr:uid="{00000000-0006-0000-0100-000003000000}">
      <text>
        <r>
          <rPr>
            <b/>
            <sz val="10"/>
            <color rgb="FF000000"/>
            <rFont val="Microsoft JhengHei UI"/>
            <family val="2"/>
            <charset val="136"/>
          </rPr>
          <t>Microsoft Office User: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  <r>
          <rPr>
            <sz val="10"/>
            <color rgb="FF000000"/>
            <rFont val="Euphemia"/>
            <family val="2"/>
            <scheme val="minor"/>
          </rPr>
          <t>廠商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<sst xmlns="http://schemas.openxmlformats.org/spreadsheetml/2006/main" count="366" uniqueCount="209">
  <si>
    <t>基本資訊</t>
    <phoneticPr fontId="8" type="noConversion"/>
  </si>
  <si>
    <t>項目</t>
    <phoneticPr fontId="8" type="noConversion"/>
  </si>
  <si>
    <t>數值</t>
    <phoneticPr fontId="8" type="noConversion"/>
  </si>
  <si>
    <t>專案編號</t>
    <phoneticPr fontId="8" type="noConversion"/>
  </si>
  <si>
    <t>填寫</t>
    <phoneticPr fontId="8" type="noConversion"/>
  </si>
  <si>
    <t>專案名稱</t>
    <phoneticPr fontId="8" type="noConversion"/>
  </si>
  <si>
    <t>專案預算</t>
    <phoneticPr fontId="8" type="noConversion"/>
  </si>
  <si>
    <t>業務人員</t>
    <phoneticPr fontId="8" type="noConversion"/>
  </si>
  <si>
    <t>專案經理</t>
    <phoneticPr fontId="8" type="noConversion"/>
  </si>
  <si>
    <t>專案執行部門</t>
    <phoneticPr fontId="8" type="noConversion"/>
  </si>
  <si>
    <t>製表日期</t>
    <phoneticPr fontId="8" type="noConversion"/>
  </si>
  <si>
    <t>製表人</t>
    <phoneticPr fontId="8" type="noConversion"/>
  </si>
  <si>
    <t>文件版本</t>
    <phoneticPr fontId="8" type="noConversion"/>
  </si>
  <si>
    <t>a</t>
    <phoneticPr fontId="8" type="noConversion"/>
  </si>
  <si>
    <t>歷史紀錄</t>
    <phoneticPr fontId="8" type="noConversion"/>
  </si>
  <si>
    <t>版本</t>
    <phoneticPr fontId="8" type="noConversion"/>
  </si>
  <si>
    <t>日期</t>
    <phoneticPr fontId="8" type="noConversion"/>
  </si>
  <si>
    <t>說明</t>
    <phoneticPr fontId="8" type="noConversion"/>
  </si>
  <si>
    <t>V0</t>
    <phoneticPr fontId="8" type="noConversion"/>
  </si>
  <si>
    <t>2020.01.01</t>
    <phoneticPr fontId="8" type="noConversion"/>
  </si>
  <si>
    <t>文件初始版本</t>
    <phoneticPr fontId="8" type="noConversion"/>
  </si>
  <si>
    <t>V1</t>
    <phoneticPr fontId="8" type="noConversion"/>
  </si>
  <si>
    <t>2021.10.01</t>
    <phoneticPr fontId="8" type="noConversion"/>
  </si>
  <si>
    <t>修正成本統計表+報價分析</t>
    <phoneticPr fontId="8" type="noConversion"/>
  </si>
  <si>
    <t>V2</t>
    <phoneticPr fontId="8" type="noConversion"/>
  </si>
  <si>
    <t>2022.01.27</t>
    <phoneticPr fontId="8" type="noConversion"/>
  </si>
  <si>
    <t>1. 報價分析的毛利欄位，必須加入其他（'03 成本統計表'!$F$11），校正管銷部分＋保固等 部分
2. 餐費相關的項目，都要調整成 差旅費，校正毛利的計算
3. 增加。本案及追加的分類統計</t>
    <phoneticPr fontId="8" type="noConversion"/>
  </si>
  <si>
    <t>V3</t>
    <phoneticPr fontId="8" type="noConversion"/>
  </si>
  <si>
    <t>2022.02.13</t>
    <phoneticPr fontId="8" type="noConversion"/>
  </si>
  <si>
    <r>
      <t xml:space="preserve">1. 改用報價為基底，換算出標準利潤率
2. 報價分析，加入 重要參考指標（成本，外部成本，內部費用）
3. 成本統計表中，加入『內部費用』為BOM 設定時可進行挑選
4. 恢復標案分析分頁，調整部分參數
</t>
    </r>
    <r>
      <rPr>
        <b/>
        <sz val="14"/>
        <color rgb="FFFF0000"/>
        <rFont val="微軟正黑體"/>
        <family val="2"/>
        <charset val="136"/>
      </rPr>
      <t>＊保險相關，不可納入內部費用中。</t>
    </r>
    <phoneticPr fontId="8" type="noConversion"/>
  </si>
  <si>
    <t>V4</t>
    <phoneticPr fontId="8" type="noConversion"/>
  </si>
  <si>
    <t>2022.07.08</t>
    <phoneticPr fontId="8" type="noConversion"/>
  </si>
  <si>
    <r>
      <t xml:space="preserve">1. 修正報價分析分頁中的內部成本計算方式，原先缺漏人工的計算，本版本補上
</t>
    </r>
    <r>
      <rPr>
        <b/>
        <sz val="14"/>
        <color rgb="FFFF0000"/>
        <rFont val="微軟正黑體"/>
        <family val="2"/>
        <charset val="136"/>
      </rPr>
      <t>＊保險相關，不可納入內部費用中。</t>
    </r>
    <phoneticPr fontId="8" type="noConversion"/>
  </si>
  <si>
    <t>V5</t>
    <phoneticPr fontId="8" type="noConversion"/>
  </si>
  <si>
    <t>2023.02.11</t>
  </si>
  <si>
    <t>1. 加入直接成本及間接成本。
2. 直接成本為專案執行可動用範圍，間接成本屬於公司營運費用。
3. 加入專案管理所需的模板。
4. 未知風險 （管理階層授權），不得加入BOM表中。 由管理層承擔決定
5. 已知風險，加入BOM表當中．
6. 新增保險費及保固費的直接成本分類，修正對應關聯欄位
7. 報價分析，新增手動輸入欄位</t>
    <phoneticPr fontId="8" type="noConversion"/>
  </si>
  <si>
    <t>V6</t>
    <phoneticPr fontId="8" type="noConversion"/>
  </si>
  <si>
    <t>2023.11.10</t>
    <phoneticPr fontId="8" type="noConversion"/>
  </si>
  <si>
    <t>1. 參數說明修正
2. 內部費用改成管銷費用(名詞改變)
3. 直接成本改成關聯本案，並非統計追加與追減
4. 施工費改成施工_外包費
5. 未知風險改成其他
6. 新增津貼與補助，屬於外部成本
7. 新增臨櫃採購，由採購部同仁填寫</t>
    <phoneticPr fontId="8" type="noConversion"/>
  </si>
  <si>
    <t>成本分類(本案)</t>
    <phoneticPr fontId="8" type="noConversion"/>
  </si>
  <si>
    <t>項次</t>
    <phoneticPr fontId="8" type="noConversion"/>
  </si>
  <si>
    <t>分類</t>
    <phoneticPr fontId="8" type="noConversion"/>
  </si>
  <si>
    <t>數量</t>
    <phoneticPr fontId="8" type="noConversion"/>
  </si>
  <si>
    <t>單位</t>
    <phoneticPr fontId="8" type="noConversion"/>
  </si>
  <si>
    <t>單價</t>
    <phoneticPr fontId="8" type="noConversion"/>
  </si>
  <si>
    <t>專案成本</t>
    <phoneticPr fontId="8" type="noConversion"/>
  </si>
  <si>
    <t>BOM 占比</t>
    <phoneticPr fontId="8" type="noConversion"/>
  </si>
  <si>
    <t>人工</t>
    <phoneticPr fontId="8" type="noConversion"/>
  </si>
  <si>
    <t>式</t>
    <phoneticPr fontId="8" type="noConversion"/>
  </si>
  <si>
    <t>工程材料（硬體）</t>
  </si>
  <si>
    <t>工程材料（軟體）</t>
  </si>
  <si>
    <t>開發用設備材料</t>
    <phoneticPr fontId="8" type="noConversion"/>
  </si>
  <si>
    <t>差旅費</t>
  </si>
  <si>
    <t>施工_外包費</t>
    <phoneticPr fontId="8" type="noConversion"/>
  </si>
  <si>
    <t>運輸費</t>
  </si>
  <si>
    <t>進出口</t>
  </si>
  <si>
    <t>保險費</t>
    <phoneticPr fontId="8" type="noConversion"/>
  </si>
  <si>
    <t>保固費</t>
    <phoneticPr fontId="8" type="noConversion"/>
  </si>
  <si>
    <t>津貼與補助</t>
    <phoneticPr fontId="8" type="noConversion"/>
  </si>
  <si>
    <t>管銷費用</t>
    <phoneticPr fontId="8" type="noConversion"/>
  </si>
  <si>
    <t>其他</t>
  </si>
  <si>
    <t>合計(未稅)</t>
    <phoneticPr fontId="8" type="noConversion"/>
  </si>
  <si>
    <t>報價用分類</t>
    <phoneticPr fontId="8" type="noConversion"/>
  </si>
  <si>
    <t>群組</t>
    <phoneticPr fontId="8" type="noConversion"/>
  </si>
  <si>
    <t>工程安裝</t>
    <phoneticPr fontId="8" type="noConversion"/>
  </si>
  <si>
    <t>規劃設計</t>
  </si>
  <si>
    <t>現場任務</t>
    <phoneticPr fontId="8" type="noConversion"/>
  </si>
  <si>
    <t>專案管理</t>
  </si>
  <si>
    <t>廠商分類</t>
    <phoneticPr fontId="8" type="noConversion"/>
  </si>
  <si>
    <t>公司名</t>
    <phoneticPr fontId="8" type="noConversion"/>
  </si>
  <si>
    <t>ICPSI</t>
    <phoneticPr fontId="8" type="noConversion"/>
  </si>
  <si>
    <t>SIEMENS-SI</t>
    <phoneticPr fontId="8" type="noConversion"/>
  </si>
  <si>
    <t>SIEMENS-DI</t>
    <phoneticPr fontId="8" type="noConversion"/>
  </si>
  <si>
    <t>SATEC</t>
  </si>
  <si>
    <t>Ficer</t>
    <phoneticPr fontId="8" type="noConversion"/>
  </si>
  <si>
    <t>Heidi</t>
    <phoneticPr fontId="8" type="noConversion"/>
  </si>
  <si>
    <t>帆軟</t>
    <phoneticPr fontId="8" type="noConversion"/>
  </si>
  <si>
    <t>宏傑</t>
    <phoneticPr fontId="8" type="noConversion"/>
  </si>
  <si>
    <t>微軟</t>
    <phoneticPr fontId="8" type="noConversion"/>
  </si>
  <si>
    <t>FORTI</t>
    <phoneticPr fontId="8" type="noConversion"/>
  </si>
  <si>
    <t>PCT</t>
    <phoneticPr fontId="8" type="noConversion"/>
  </si>
  <si>
    <t>ViewSonic</t>
    <phoneticPr fontId="8" type="noConversion"/>
  </si>
  <si>
    <t>羅技</t>
    <phoneticPr fontId="8" type="noConversion"/>
  </si>
  <si>
    <t>Adventech</t>
    <phoneticPr fontId="8" type="noConversion"/>
  </si>
  <si>
    <t>iGrid</t>
    <phoneticPr fontId="8" type="noConversion"/>
  </si>
  <si>
    <t>泓格</t>
    <phoneticPr fontId="8" type="noConversion"/>
  </si>
  <si>
    <t>翊凌</t>
    <phoneticPr fontId="8" type="noConversion"/>
  </si>
  <si>
    <t>威光</t>
    <phoneticPr fontId="8" type="noConversion"/>
  </si>
  <si>
    <t>富士</t>
    <phoneticPr fontId="8" type="noConversion"/>
  </si>
  <si>
    <t>茂駿</t>
    <phoneticPr fontId="8" type="noConversion"/>
  </si>
  <si>
    <t>鎰譁</t>
    <phoneticPr fontId="8" type="noConversion"/>
  </si>
  <si>
    <t>科風</t>
    <phoneticPr fontId="8" type="noConversion"/>
  </si>
  <si>
    <t>富邦</t>
    <phoneticPr fontId="8" type="noConversion"/>
  </si>
  <si>
    <t>台達</t>
    <phoneticPr fontId="8" type="noConversion"/>
  </si>
  <si>
    <t>久大</t>
    <phoneticPr fontId="8" type="noConversion"/>
  </si>
  <si>
    <t>MIT</t>
    <phoneticPr fontId="8" type="noConversion"/>
  </si>
  <si>
    <t>本案及追加分析</t>
    <phoneticPr fontId="8" type="noConversion"/>
  </si>
  <si>
    <t>本案</t>
    <phoneticPr fontId="8" type="noConversion"/>
  </si>
  <si>
    <t>追加</t>
    <phoneticPr fontId="8" type="noConversion"/>
  </si>
  <si>
    <t>追減</t>
    <phoneticPr fontId="8" type="noConversion"/>
  </si>
  <si>
    <t xml:space="preserve"> </t>
  </si>
  <si>
    <t>NO</t>
    <phoneticPr fontId="8" type="noConversion"/>
  </si>
  <si>
    <t>Classification</t>
    <phoneticPr fontId="8" type="noConversion"/>
  </si>
  <si>
    <t>Group</t>
    <phoneticPr fontId="8" type="noConversion"/>
  </si>
  <si>
    <t>本案_追加</t>
    <phoneticPr fontId="8" type="noConversion"/>
  </si>
  <si>
    <t>Type</t>
    <phoneticPr fontId="8" type="noConversion"/>
  </si>
  <si>
    <t>Functional Description</t>
    <phoneticPr fontId="8" type="noConversion"/>
  </si>
  <si>
    <t>Manufacture</t>
    <phoneticPr fontId="8" type="noConversion"/>
  </si>
  <si>
    <t>Qty</t>
    <phoneticPr fontId="8" type="noConversion"/>
  </si>
  <si>
    <t>Unit</t>
    <phoneticPr fontId="8" type="noConversion"/>
  </si>
  <si>
    <t>Cost(未稅)</t>
    <phoneticPr fontId="8" type="noConversion"/>
  </si>
  <si>
    <t>Total Cost</t>
    <phoneticPr fontId="8" type="noConversion"/>
  </si>
  <si>
    <t>第一次詢價
數量</t>
    <phoneticPr fontId="8" type="noConversion"/>
  </si>
  <si>
    <t>第一次詢價
單價(未稅)</t>
    <phoneticPr fontId="8" type="noConversion"/>
  </si>
  <si>
    <t>第一次詢價
總價(未稅)</t>
  </si>
  <si>
    <t>下單價 (未稅)</t>
  </si>
  <si>
    <t>下單價 (含稅)</t>
  </si>
  <si>
    <t>交期</t>
  </si>
  <si>
    <t>付款條件</t>
  </si>
  <si>
    <t>採購單編號</t>
  </si>
  <si>
    <t>請款單號</t>
  </si>
  <si>
    <t>匯款日期</t>
  </si>
  <si>
    <t>Note</t>
    <phoneticPr fontId="8" type="noConversion"/>
  </si>
  <si>
    <t>**** 項目 ****</t>
    <phoneticPr fontId="8" type="noConversion"/>
  </si>
  <si>
    <t>本案</t>
  </si>
  <si>
    <t>人工</t>
  </si>
  <si>
    <t>**** 工程安裝 ****</t>
    <phoneticPr fontId="8" type="noConversion"/>
  </si>
  <si>
    <t>工程安裝</t>
  </si>
  <si>
    <t>**** 規劃設計 ****</t>
  </si>
  <si>
    <t>**** 現場任務 ****</t>
  </si>
  <si>
    <t>現場任務</t>
  </si>
  <si>
    <t>**** 專案管理 ****</t>
  </si>
  <si>
    <t>ICPSI</t>
  </si>
  <si>
    <t>天</t>
  </si>
  <si>
    <t>公文來往寄信及包裹</t>
  </si>
  <si>
    <t>式</t>
  </si>
  <si>
    <t>產品運輸費</t>
  </si>
  <si>
    <t>驗收物品 來回運送用</t>
  </si>
  <si>
    <t>保險費</t>
  </si>
  <si>
    <t>工程保險</t>
  </si>
  <si>
    <t>富邦</t>
  </si>
  <si>
    <t>餐費/業務</t>
  </si>
  <si>
    <t>現場業務費用</t>
  </si>
  <si>
    <t>已知風險</t>
    <phoneticPr fontId="8" type="noConversion"/>
  </si>
  <si>
    <t>應變準備金，總金額之3%</t>
    <phoneticPr fontId="8" type="noConversion"/>
  </si>
  <si>
    <t>保固費</t>
  </si>
  <si>
    <t>專案保固</t>
  </si>
  <si>
    <t>總金額之1%/年</t>
    <phoneticPr fontId="8" type="noConversion"/>
  </si>
  <si>
    <t>年</t>
  </si>
  <si>
    <t>未知風險</t>
    <phoneticPr fontId="8" type="noConversion"/>
  </si>
  <si>
    <t>管理階層決定，總金額0%</t>
    <phoneticPr fontId="8" type="noConversion"/>
  </si>
  <si>
    <t>管銷費用</t>
  </si>
  <si>
    <t>12%，間接成本（不可使用費用）</t>
    <phoneticPr fontId="8" type="noConversion"/>
  </si>
  <si>
    <t>**** 追加 ****</t>
    <phoneticPr fontId="8" type="noConversion"/>
  </si>
  <si>
    <t>追加</t>
  </si>
  <si>
    <t>**** 追減 ****</t>
    <phoneticPr fontId="8" type="noConversion"/>
  </si>
  <si>
    <t>追減</t>
  </si>
  <si>
    <t>**** 臨櫃採購 ****</t>
    <phoneticPr fontId="8" type="noConversion"/>
  </si>
  <si>
    <t>未稅</t>
    <phoneticPr fontId="8" type="noConversion"/>
  </si>
  <si>
    <t>總成本</t>
    <phoneticPr fontId="8" type="noConversion"/>
  </si>
  <si>
    <t>內部費用</t>
    <phoneticPr fontId="8" type="noConversion"/>
  </si>
  <si>
    <t>報價金額(未稅)</t>
    <phoneticPr fontId="8" type="noConversion"/>
  </si>
  <si>
    <t>利潤</t>
    <phoneticPr fontId="8" type="noConversion"/>
  </si>
  <si>
    <t>利潤率</t>
    <phoneticPr fontId="8" type="noConversion"/>
  </si>
  <si>
    <t>毛利</t>
    <phoneticPr fontId="8" type="noConversion"/>
  </si>
  <si>
    <t>毛利率</t>
    <phoneticPr fontId="8" type="noConversion"/>
  </si>
  <si>
    <t>倍率(不參考)</t>
    <phoneticPr fontId="8" type="noConversion"/>
  </si>
  <si>
    <t>外部成本</t>
    <phoneticPr fontId="8" type="noConversion"/>
  </si>
  <si>
    <t>手動填寫</t>
    <phoneticPr fontId="35" type="noConversion"/>
  </si>
  <si>
    <t>專案報價及成本細節</t>
    <phoneticPr fontId="35" type="noConversion"/>
  </si>
  <si>
    <t>報價金額(未稅)</t>
    <phoneticPr fontId="35" type="noConversion"/>
  </si>
  <si>
    <t>外部成本</t>
    <phoneticPr fontId="35" type="noConversion"/>
  </si>
  <si>
    <t>內部費用</t>
    <phoneticPr fontId="35" type="noConversion"/>
  </si>
  <si>
    <t>總成本</t>
    <phoneticPr fontId="35" type="noConversion"/>
  </si>
  <si>
    <t>利潤率</t>
    <phoneticPr fontId="35" type="noConversion"/>
  </si>
  <si>
    <t>利潤</t>
    <phoneticPr fontId="35" type="noConversion"/>
  </si>
  <si>
    <t>毛利率</t>
    <phoneticPr fontId="35" type="noConversion"/>
  </si>
  <si>
    <t>毛利</t>
    <phoneticPr fontId="35" type="noConversion"/>
  </si>
  <si>
    <r>
      <rPr>
        <b/>
        <sz val="14"/>
        <color rgb="FFFF0000"/>
        <rFont val="Microsoft JhengHei Light"/>
        <family val="2"/>
        <charset val="136"/>
      </rPr>
      <t>"※ 現況定義</t>
    </r>
    <r>
      <rPr>
        <sz val="14"/>
        <rFont val="Microsoft JhengHei Light"/>
        <family val="2"/>
        <charset val="136"/>
      </rPr>
      <t xml:space="preserve">
毛利 = 營收 - 專案成本(材料+外包+交通、住宿、津貼、保險...等)
利潤 = 毛利 - 加雲營業費用(12%管銷 ...等) - </t>
    </r>
    <r>
      <rPr>
        <sz val="14"/>
        <color rgb="FFFF0000"/>
        <rFont val="Microsoft JhengHei Light"/>
        <family val="2"/>
        <charset val="136"/>
      </rPr>
      <t>加雲內部成本(人力薪資、出差、加班、加給)</t>
    </r>
    <r>
      <rPr>
        <sz val="14"/>
        <rFont val="Microsoft JhengHei Light"/>
        <family val="2"/>
        <charset val="136"/>
      </rPr>
      <t xml:space="preserve">
</t>
    </r>
    <r>
      <rPr>
        <b/>
        <sz val="14"/>
        <color rgb="FFFF0000"/>
        <rFont val="Microsoft JhengHei Light"/>
        <family val="2"/>
        <charset val="136"/>
      </rPr>
      <t>※ 未來定義</t>
    </r>
    <r>
      <rPr>
        <sz val="14"/>
        <rFont val="Microsoft JhengHei Light"/>
        <family val="2"/>
        <charset val="136"/>
      </rPr>
      <t xml:space="preserve">
</t>
    </r>
    <r>
      <rPr>
        <b/>
        <sz val="14"/>
        <rFont val="Microsoft JhengHei Light"/>
        <family val="2"/>
        <charset val="136"/>
      </rPr>
      <t>毛利</t>
    </r>
    <r>
      <rPr>
        <sz val="14"/>
        <rFont val="Microsoft JhengHei Light"/>
        <family val="2"/>
        <charset val="136"/>
      </rPr>
      <t xml:space="preserve"> = 營收 - 專案成本(材料+外包+交通、住宿、津貼、保險...等) - 加雲內部成本(人力薪資、出差、加班、加給)
</t>
    </r>
    <r>
      <rPr>
        <b/>
        <sz val="14"/>
        <rFont val="Microsoft JhengHei Light"/>
        <family val="2"/>
        <charset val="136"/>
      </rPr>
      <t>利潤</t>
    </r>
    <r>
      <rPr>
        <sz val="14"/>
        <rFont val="Microsoft JhengHei Light"/>
        <family val="2"/>
        <charset val="136"/>
      </rPr>
      <t xml:space="preserve"> = 毛利 - 加雲營業費用(12%管銷 ...等)"			</t>
    </r>
    <phoneticPr fontId="8" type="noConversion"/>
  </si>
  <si>
    <t>加雲標準BOM
目前Cost(未稅)</t>
    <phoneticPr fontId="41" type="noConversion"/>
  </si>
  <si>
    <t>外部成本</t>
  </si>
  <si>
    <t>折價比例</t>
    <phoneticPr fontId="41" type="noConversion"/>
  </si>
  <si>
    <t>未稅金額</t>
    <phoneticPr fontId="41" type="noConversion"/>
  </si>
  <si>
    <t>含稅金額</t>
    <phoneticPr fontId="41" type="noConversion"/>
  </si>
  <si>
    <t>利潤率</t>
    <phoneticPr fontId="41" type="noConversion"/>
  </si>
  <si>
    <t>毛利率</t>
    <phoneticPr fontId="41" type="noConversion"/>
  </si>
  <si>
    <t>過去相關專案得標價格落點，用黃底標註。
未考量內容數量問題，只單純價格分析</t>
    <phoneticPr fontId="41" type="noConversion"/>
  </si>
  <si>
    <t>***  要保持隱藏的工作表 ***</t>
  </si>
  <si>
    <t>其他總計</t>
  </si>
  <si>
    <t>雜貨總計</t>
  </si>
  <si>
    <r>
      <rPr>
        <b/>
        <sz val="12"/>
        <color theme="3"/>
        <rFont val="Euphemia (本文)"/>
        <family val="3"/>
        <charset val="136"/>
      </rPr>
      <t>項目</t>
    </r>
    <phoneticPr fontId="35" type="noConversion"/>
  </si>
  <si>
    <r>
      <rPr>
        <b/>
        <sz val="12"/>
        <color theme="3"/>
        <rFont val="Euphemia (本文)"/>
        <family val="3"/>
        <charset val="136"/>
      </rPr>
      <t>數值</t>
    </r>
    <phoneticPr fontId="35" type="noConversion"/>
  </si>
  <si>
    <r>
      <rPr>
        <b/>
        <sz val="12"/>
        <color theme="3"/>
        <rFont val="Euphemia (本文)"/>
        <family val="3"/>
        <charset val="136"/>
      </rPr>
      <t>單位</t>
    </r>
    <phoneticPr fontId="35" type="noConversion"/>
  </si>
  <si>
    <r>
      <rPr>
        <b/>
        <sz val="12"/>
        <color theme="3"/>
        <rFont val="Euphemia (本文)"/>
        <family val="3"/>
        <charset val="136"/>
      </rPr>
      <t>說明</t>
    </r>
    <phoneticPr fontId="35" type="noConversion"/>
  </si>
  <si>
    <t>NTD</t>
    <phoneticPr fontId="35" type="noConversion"/>
  </si>
  <si>
    <t>純設備、外包支出</t>
    <phoneticPr fontId="35" type="noConversion"/>
  </si>
  <si>
    <t>不可動用，公司營運費</t>
    <phoneticPr fontId="35" type="noConversion"/>
  </si>
  <si>
    <t>專案總成本</t>
    <phoneticPr fontId="35" type="noConversion"/>
  </si>
  <si>
    <t>專案經理可使用</t>
    <phoneticPr fontId="35" type="noConversion"/>
  </si>
  <si>
    <t>保固金</t>
    <phoneticPr fontId="35" type="noConversion"/>
  </si>
  <si>
    <t>工程結束後，預先凍結費用</t>
    <phoneticPr fontId="35" type="noConversion"/>
  </si>
  <si>
    <r>
      <t>專案</t>
    </r>
    <r>
      <rPr>
        <sz val="10"/>
        <color theme="3"/>
        <rFont val="Euphemia UCAS"/>
        <family val="2"/>
      </rPr>
      <t>總人天</t>
    </r>
    <phoneticPr fontId="35" type="noConversion"/>
  </si>
  <si>
    <t>人天</t>
    <phoneticPr fontId="35" type="noConversion"/>
  </si>
  <si>
    <t>工程團隊可執行人天數</t>
    <phoneticPr fontId="35" type="noConversion"/>
  </si>
  <si>
    <r>
      <rPr>
        <sz val="10"/>
        <color theme="3"/>
        <rFont val="Euphemia UCAS"/>
        <family val="2"/>
      </rPr>
      <t>專案總人天</t>
    </r>
    <r>
      <rPr>
        <sz val="10"/>
        <color theme="3"/>
        <rFont val="Euphemia"/>
        <family val="2"/>
      </rPr>
      <t>（%）</t>
    </r>
    <phoneticPr fontId="35" type="noConversion"/>
  </si>
  <si>
    <t>%</t>
    <phoneticPr fontId="35" type="noConversion"/>
  </si>
  <si>
    <t>說明本案人天數，在整年度部門人力的佔比，用於評估資源佔用度</t>
    <phoneticPr fontId="35" type="noConversion"/>
  </si>
  <si>
    <t>執行團隊總人天（年度）</t>
    <phoneticPr fontId="35" type="noConversion"/>
  </si>
  <si>
    <t>整個部分，整年度總人天(扣除部門主管及副主管＋助理)共24人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</si>
</sst>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0">
    <numFmt numFmtId="44" formatCode="_-&quot;$&quot;* #,##0.00_-;\-&quot;$&quot;* #,##0.00_-;_-&quot;$&quot;* &quot;-&quot;??_-;_-@_-"/>
    <numFmt numFmtId="43" formatCode="_-* #,##0.00_-;\-* #,##0.00_-;_-* &quot;-&quot;??_-;_-@_-"/>
    <numFmt numFmtId="176" formatCode="&quot;$&quot;#,##0.00"/>
    <numFmt numFmtId="177" formatCode="&quot;NT$&quot;#,##0.00_);[Red]\(&quot;NT$&quot;#,##0.00\)"/>
    <numFmt numFmtId="178" formatCode="&quot;NT$&quot;#,##0"/>
    <numFmt numFmtId="179" formatCode="0.0%"/>
    <numFmt numFmtId="180" formatCode="&quot;NT$&quot;#,##0_);[Red]\(&quot;NT$&quot;#,##0\)"/>
    <numFmt numFmtId="181" formatCode="_-* #,##0.00_-;\-* #,##0.00_-;_-* \-??_-;_-@_-"/>
    <numFmt numFmtId="182" formatCode="_-&quot;$&quot;* #,##0_-;\-&quot;$&quot;* #,##0_-;_-&quot;$&quot;* &quot;-&quot;??_-;_-@_-"/>
    <numFmt numFmtId="183" formatCode="&quot;NT$&quot;#,##0.0"/>
  </numFmts>
  <fonts count="58">
    <font>
      <sz val="10"/>
      <color theme="3"/>
      <name val="Euphemia"/>
      <family val="2"/>
      <scheme val="minor"/>
    </font>
    <font>
      <sz val="11"/>
      <color theme="1"/>
      <name val="Euphemia"/>
      <family val="2"/>
      <scheme val="minor"/>
    </font>
    <font>
      <sz val="36"/>
      <color theme="8"/>
      <name val="Franklin Gothic Medium"/>
      <family val="2"/>
      <scheme val="major"/>
    </font>
    <font>
      <sz val="10"/>
      <color theme="3"/>
      <name val="Franklin Gothic Medium"/>
      <family val="2"/>
      <scheme val="major"/>
    </font>
    <font>
      <b/>
      <sz val="10"/>
      <color theme="3"/>
      <name val="Euphemia"/>
      <family val="2"/>
      <scheme val="minor"/>
    </font>
    <font>
      <sz val="9"/>
      <color theme="8"/>
      <name val="Webdings"/>
      <family val="1"/>
      <charset val="2"/>
    </font>
    <font>
      <sz val="10"/>
      <color theme="3"/>
      <name val="Euphemia"/>
      <family val="2"/>
      <scheme val="minor"/>
    </font>
    <font>
      <sz val="10"/>
      <color theme="8" tint="0.89996032593768116"/>
      <name val="Euphemia"/>
      <family val="2"/>
      <scheme val="minor"/>
    </font>
    <font>
      <sz val="9"/>
      <name val="細明體"/>
      <family val="3"/>
      <charset val="136"/>
      <scheme val="minor"/>
    </font>
    <font>
      <sz val="10"/>
      <color theme="3"/>
      <name val="Microsoft JhengHei UI"/>
      <family val="2"/>
      <charset val="136"/>
    </font>
    <font>
      <sz val="36"/>
      <color theme="8"/>
      <name val="Microsoft JhengHei UI"/>
      <family val="2"/>
      <charset val="136"/>
    </font>
    <font>
      <sz val="10"/>
      <name val="Microsoft JhengHei UI"/>
      <family val="2"/>
      <charset val="136"/>
    </font>
    <font>
      <sz val="10"/>
      <color theme="3"/>
      <name val="微軟正黑體"/>
      <family val="2"/>
      <charset val="136"/>
    </font>
    <font>
      <sz val="36"/>
      <color theme="8"/>
      <name val="微軟正黑體"/>
      <family val="2"/>
      <charset val="136"/>
    </font>
    <font>
      <b/>
      <sz val="10"/>
      <color theme="3"/>
      <name val="微軟正黑體"/>
      <family val="2"/>
      <charset val="136"/>
    </font>
    <font>
      <sz val="14"/>
      <color theme="3"/>
      <name val="微軟正黑體"/>
      <family val="2"/>
      <charset val="136"/>
    </font>
    <font>
      <sz val="18"/>
      <color theme="3"/>
      <name val="微軟正黑體"/>
      <family val="2"/>
      <charset val="136"/>
    </font>
    <font>
      <b/>
      <sz val="18"/>
      <color theme="3"/>
      <name val="微軟正黑體"/>
      <family val="2"/>
      <charset val="136"/>
    </font>
    <font>
      <b/>
      <sz val="14"/>
      <color theme="3"/>
      <name val="微軟正黑體"/>
      <family val="2"/>
      <charset val="136"/>
    </font>
    <font>
      <sz val="12"/>
      <name val="新細明體"/>
      <family val="1"/>
      <charset val="136"/>
    </font>
    <font>
      <b/>
      <sz val="10"/>
      <color theme="1"/>
      <name val="微軟正黑體"/>
      <family val="2"/>
      <charset val="136"/>
    </font>
    <font>
      <sz val="36"/>
      <color theme="3"/>
      <name val="微軟正黑體"/>
      <family val="2"/>
      <charset val="136"/>
    </font>
    <font>
      <sz val="10"/>
      <color rgb="FF000000"/>
      <name val="Microsoft JhengHei UI"/>
      <family val="2"/>
      <charset val="136"/>
    </font>
    <font>
      <b/>
      <sz val="10"/>
      <color rgb="FF000000"/>
      <name val="Microsoft JhengHei UI"/>
      <family val="2"/>
      <charset val="136"/>
    </font>
    <font>
      <sz val="10"/>
      <color rgb="FF000000"/>
      <name val="Euphemia"/>
      <family val="2"/>
      <scheme val="minor"/>
    </font>
    <font>
      <sz val="36"/>
      <color rgb="FF171C8F"/>
      <name val="微軟正黑體"/>
      <family val="2"/>
      <charset val="136"/>
    </font>
    <font>
      <sz val="10"/>
      <color theme="0"/>
      <name val="Microsoft JhengHei UI"/>
      <family val="2"/>
      <charset val="136"/>
    </font>
    <font>
      <b/>
      <sz val="12"/>
      <color theme="0"/>
      <name val="微軟正黑體"/>
      <family val="2"/>
      <charset val="136"/>
    </font>
    <font>
      <b/>
      <sz val="9"/>
      <color theme="8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24"/>
      <color theme="8"/>
      <name val="Microsoft JhengHei UI"/>
      <family val="2"/>
      <charset val="136"/>
    </font>
    <font>
      <sz val="14"/>
      <name val="Microsoft JhengHei Light"/>
      <family val="2"/>
      <charset val="136"/>
    </font>
    <font>
      <sz val="14"/>
      <color rgb="FFFF0000"/>
      <name val="Microsoft JhengHei Light"/>
      <family val="2"/>
      <charset val="136"/>
    </font>
    <font>
      <b/>
      <sz val="14"/>
      <color theme="0"/>
      <name val="微軟正黑體"/>
      <family val="2"/>
      <charset val="136"/>
    </font>
    <font>
      <sz val="24"/>
      <name val="微軟正黑體"/>
      <family val="2"/>
      <charset val="136"/>
    </font>
    <font>
      <sz val="9"/>
      <name val="Wawati TC"/>
      <family val="3"/>
      <charset val="136"/>
      <scheme val="minor"/>
    </font>
    <font>
      <b/>
      <sz val="14"/>
      <name val="微軟正黑體"/>
      <family val="2"/>
      <charset val="136"/>
    </font>
    <font>
      <sz val="14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b/>
      <sz val="16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3"/>
      <name val="Euphemia UCAS"/>
      <family val="2"/>
      <scheme val="minor"/>
    </font>
    <font>
      <sz val="10"/>
      <color theme="3"/>
      <name val="Euphemia UCAS"/>
      <family val="2"/>
    </font>
    <font>
      <sz val="10"/>
      <color theme="3"/>
      <name val="Euphemia"/>
      <family val="2"/>
    </font>
    <font>
      <b/>
      <sz val="10"/>
      <color theme="3"/>
      <name val="Euphemia"/>
      <family val="2"/>
    </font>
    <font>
      <b/>
      <sz val="12"/>
      <color theme="3"/>
      <name val="Euphemia"/>
      <family val="2"/>
    </font>
    <font>
      <b/>
      <sz val="12"/>
      <color theme="3"/>
      <name val="Euphemia (本文)"/>
      <family val="3"/>
      <charset val="136"/>
    </font>
    <font>
      <b/>
      <sz val="12"/>
      <color theme="3"/>
      <name val="Euphemia"/>
      <family val="2"/>
      <charset val="1"/>
    </font>
    <font>
      <b/>
      <sz val="10"/>
      <color theme="3"/>
      <name val="Euphemia UCAS"/>
      <family val="2"/>
    </font>
    <font>
      <i/>
      <sz val="10"/>
      <color theme="3"/>
      <name val="Euphemia"/>
      <family val="2"/>
    </font>
    <font>
      <sz val="10"/>
      <name val="新細明體"/>
      <family val="1"/>
    </font>
    <font>
      <b/>
      <sz val="10"/>
      <color theme="0"/>
      <name val="微軟正黑體"/>
      <family val="2"/>
      <charset val="136"/>
    </font>
    <font>
      <b/>
      <sz val="14"/>
      <color rgb="FFFF0000"/>
      <name val="Microsoft JhengHei Light"/>
      <family val="2"/>
      <charset val="136"/>
    </font>
    <font>
      <b/>
      <sz val="14"/>
      <name val="Microsoft JhengHei Light"/>
      <family val="2"/>
      <charset val="136"/>
    </font>
    <font>
      <sz val="9"/>
      <color theme="8"/>
      <name val="微軟正黑體"/>
      <family val="2"/>
      <charset val="136"/>
    </font>
  </fonts>
  <fills count="18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1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 applyNumberFormat="0" applyFill="0" applyBorder="0" applyAlignment="0" applyProtection="0"/>
    <xf numFmtId="176" fontId="1" fillId="0" borderId="0" applyFont="0" applyFill="0" applyBorder="0" applyProtection="0">
      <alignment horizontal="right"/>
    </xf>
    <xf numFmtId="0" fontId="5" fillId="0" borderId="0" applyNumberFormat="0" applyFill="0" applyBorder="0" applyAlignment="0" applyProtection="0">
      <alignment horizontal="left"/>
    </xf>
    <xf numFmtId="0" fontId="2" fillId="0" borderId="0" applyNumberFormat="0" applyFill="0" applyBorder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Protection="0">
      <alignment horizontal="left"/>
    </xf>
    <xf numFmtId="0" fontId="6" fillId="3" borderId="0" applyNumberFormat="0" applyFont="0" applyBorder="0" applyAlignment="0" applyProtection="0"/>
    <xf numFmtId="0" fontId="7" fillId="2" borderId="0" applyNumberFormat="0" applyBorder="0" applyAlignment="0" applyProtection="0"/>
    <xf numFmtId="0" fontId="6" fillId="0" borderId="0" applyNumberFormat="0" applyFont="0" applyFill="0" applyBorder="0" applyProtection="0">
      <alignment horizontal="left" indent="1"/>
    </xf>
    <xf numFmtId="0" fontId="19" fillId="0" borderId="0"/>
    <xf numFmtId="181" fontId="19" fillId="0" borderId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4" fontId="6" fillId="0" borderId="0" applyFont="0" applyFill="0" applyBorder="0" applyAlignment="0" applyProtection="0">
      <alignment vertical="center"/>
    </xf>
    <xf numFmtId="0" fontId="53" fillId="0" borderId="0"/>
    <xf numFmtId="43" fontId="53" fillId="0" borderId="0" applyFont="0" applyFill="0" applyBorder="0" applyAlignment="0" applyProtection="0"/>
  </cellStyleXfs>
  <cellXfs count="192">
    <xf numFmtId="0" fontId="0" fillId="0" borderId="0" xfId="0"/>
    <xf numFmtId="0" fontId="9" fillId="0" borderId="0" xfId="0" applyFont="1"/>
    <xf numFmtId="0" fontId="11" fillId="0" borderId="0" xfId="0" applyFont="1"/>
    <xf numFmtId="177" fontId="9" fillId="0" borderId="0" xfId="0" applyNumberFormat="1" applyFont="1"/>
    <xf numFmtId="0" fontId="9" fillId="4" borderId="0" xfId="0" applyFont="1" applyFill="1"/>
    <xf numFmtId="177" fontId="9" fillId="0" borderId="0" xfId="1" applyNumberFormat="1" applyFont="1">
      <alignment horizontal="right"/>
    </xf>
    <xf numFmtId="176" fontId="9" fillId="0" borderId="0" xfId="1" applyFont="1">
      <alignment horizontal="right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178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14" fontId="15" fillId="0" borderId="0" xfId="0" applyNumberFormat="1" applyFont="1" applyAlignment="1">
      <alignment horizontal="left"/>
    </xf>
    <xf numFmtId="0" fontId="18" fillId="5" borderId="0" xfId="0" applyFont="1" applyFill="1"/>
    <xf numFmtId="49" fontId="15" fillId="0" borderId="0" xfId="0" applyNumberFormat="1" applyFont="1" applyAlignment="1">
      <alignment horizontal="left"/>
    </xf>
    <xf numFmtId="0" fontId="9" fillId="3" borderId="0" xfId="6" applyFont="1"/>
    <xf numFmtId="0" fontId="9" fillId="3" borderId="0" xfId="0" applyFont="1" applyFill="1"/>
    <xf numFmtId="0" fontId="9" fillId="3" borderId="0" xfId="7" applyFont="1" applyFill="1"/>
    <xf numFmtId="0" fontId="12" fillId="3" borderId="0" xfId="7" applyFont="1" applyFill="1"/>
    <xf numFmtId="0" fontId="12" fillId="3" borderId="0" xfId="7" applyFont="1" applyFill="1" applyAlignment="1">
      <alignment shrinkToFit="1"/>
    </xf>
    <xf numFmtId="0" fontId="12" fillId="3" borderId="0" xfId="7" applyFont="1" applyFill="1" applyAlignment="1">
      <alignment horizontal="center"/>
    </xf>
    <xf numFmtId="0" fontId="12" fillId="3" borderId="0" xfId="7" applyFont="1" applyFill="1" applyAlignment="1">
      <alignment horizontal="center" shrinkToFit="1"/>
    </xf>
    <xf numFmtId="0" fontId="12" fillId="3" borderId="0" xfId="7" applyFont="1" applyFill="1" applyAlignment="1">
      <alignment horizontal="left"/>
    </xf>
    <xf numFmtId="0" fontId="9" fillId="3" borderId="0" xfId="7" applyFont="1" applyFill="1" applyAlignment="1">
      <alignment shrinkToFit="1"/>
    </xf>
    <xf numFmtId="0" fontId="13" fillId="3" borderId="0" xfId="6" applyFont="1" applyAlignment="1">
      <alignment horizontal="left"/>
    </xf>
    <xf numFmtId="0" fontId="10" fillId="3" borderId="0" xfId="6" applyFont="1" applyAlignment="1">
      <alignment shrinkToFit="1"/>
    </xf>
    <xf numFmtId="0" fontId="10" fillId="3" borderId="0" xfId="3" applyFont="1" applyFill="1"/>
    <xf numFmtId="0" fontId="12" fillId="3" borderId="0" xfId="6" applyFont="1"/>
    <xf numFmtId="0" fontId="12" fillId="3" borderId="0" xfId="6" applyFont="1" applyAlignment="1">
      <alignment shrinkToFit="1"/>
    </xf>
    <xf numFmtId="0" fontId="12" fillId="3" borderId="0" xfId="6" applyFont="1" applyAlignment="1">
      <alignment horizontal="center"/>
    </xf>
    <xf numFmtId="0" fontId="12" fillId="3" borderId="0" xfId="6" applyFont="1" applyAlignment="1">
      <alignment horizontal="center" shrinkToFit="1"/>
    </xf>
    <xf numFmtId="0" fontId="12" fillId="3" borderId="0" xfId="6" applyFont="1" applyAlignment="1">
      <alignment horizontal="left"/>
    </xf>
    <xf numFmtId="0" fontId="9" fillId="3" borderId="0" xfId="6" applyFont="1" applyAlignment="1">
      <alignment shrinkToFit="1"/>
    </xf>
    <xf numFmtId="0" fontId="25" fillId="3" borderId="0" xfId="6" applyFont="1"/>
    <xf numFmtId="0" fontId="26" fillId="7" borderId="0" xfId="4" applyFont="1" applyFill="1" applyBorder="1"/>
    <xf numFmtId="0" fontId="27" fillId="7" borderId="0" xfId="6" applyFont="1" applyFill="1" applyBorder="1" applyAlignment="1">
      <alignment horizontal="center" vertical="center"/>
    </xf>
    <xf numFmtId="0" fontId="27" fillId="7" borderId="0" xfId="6" applyFont="1" applyFill="1" applyBorder="1" applyAlignment="1">
      <alignment horizontal="center" vertical="center" shrinkToFit="1"/>
    </xf>
    <xf numFmtId="0" fontId="14" fillId="3" borderId="1" xfId="5" applyFont="1" applyFill="1" applyBorder="1" applyAlignment="1">
      <alignment horizontal="center" vertical="center"/>
    </xf>
    <xf numFmtId="0" fontId="14" fillId="3" borderId="1" xfId="5" applyFont="1" applyFill="1" applyBorder="1" applyAlignment="1">
      <alignment horizontal="center" vertical="center" shrinkToFit="1"/>
    </xf>
    <xf numFmtId="0" fontId="28" fillId="0" borderId="1" xfId="5" applyFont="1" applyFill="1" applyBorder="1" applyAlignment="1">
      <alignment horizontal="center" vertical="center"/>
    </xf>
    <xf numFmtId="0" fontId="20" fillId="3" borderId="1" xfId="5" applyFont="1" applyFill="1" applyBorder="1" applyAlignment="1">
      <alignment horizontal="left" vertical="center" wrapText="1"/>
    </xf>
    <xf numFmtId="0" fontId="14" fillId="0" borderId="1" xfId="5" applyFont="1" applyFill="1" applyBorder="1" applyAlignment="1">
      <alignment horizontal="center" vertical="center"/>
    </xf>
    <xf numFmtId="0" fontId="14" fillId="0" borderId="1" xfId="6" applyFont="1" applyFill="1" applyBorder="1" applyAlignment="1">
      <alignment horizontal="center" vertical="center" shrinkToFit="1"/>
    </xf>
    <xf numFmtId="0" fontId="12" fillId="0" borderId="1" xfId="6" applyFont="1" applyFill="1" applyBorder="1" applyAlignment="1">
      <alignment horizontal="center" vertical="center" shrinkToFit="1"/>
    </xf>
    <xf numFmtId="0" fontId="12" fillId="3" borderId="0" xfId="7" applyFont="1" applyFill="1" applyAlignment="1">
      <alignment wrapText="1"/>
    </xf>
    <xf numFmtId="0" fontId="12" fillId="3" borderId="0" xfId="6" applyFont="1" applyAlignment="1">
      <alignment wrapText="1"/>
    </xf>
    <xf numFmtId="0" fontId="27" fillId="7" borderId="0" xfId="6" applyFont="1" applyFill="1" applyBorder="1" applyAlignment="1">
      <alignment horizontal="center" vertical="center" wrapText="1"/>
    </xf>
    <xf numFmtId="180" fontId="14" fillId="0" borderId="1" xfId="1" applyNumberFormat="1" applyFont="1" applyFill="1" applyBorder="1" applyAlignment="1">
      <alignment horizontal="left" vertical="center"/>
    </xf>
    <xf numFmtId="0" fontId="12" fillId="0" borderId="1" xfId="8" applyFont="1" applyFill="1" applyBorder="1" applyAlignment="1">
      <alignment horizontal="left" vertical="center" shrinkToFit="1"/>
    </xf>
    <xf numFmtId="182" fontId="20" fillId="0" borderId="1" xfId="13" applyNumberFormat="1" applyFont="1" applyFill="1" applyBorder="1" applyAlignment="1">
      <alignment horizontal="left" vertical="center"/>
    </xf>
    <xf numFmtId="180" fontId="20" fillId="0" borderId="1" xfId="1" applyNumberFormat="1" applyFont="1" applyFill="1" applyBorder="1" applyAlignment="1">
      <alignment horizontal="center" vertical="center"/>
    </xf>
    <xf numFmtId="49" fontId="20" fillId="0" borderId="1" xfId="1" applyNumberFormat="1" applyFont="1" applyFill="1" applyBorder="1" applyAlignment="1">
      <alignment horizontal="center" vertical="center"/>
    </xf>
    <xf numFmtId="180" fontId="20" fillId="0" borderId="1" xfId="1" applyNumberFormat="1" applyFont="1" applyFill="1" applyBorder="1" applyAlignment="1">
      <alignment vertical="center"/>
    </xf>
    <xf numFmtId="49" fontId="12" fillId="3" borderId="0" xfId="7" applyNumberFormat="1" applyFont="1" applyFill="1" applyAlignment="1">
      <alignment horizontal="left"/>
    </xf>
    <xf numFmtId="49" fontId="13" fillId="3" borderId="0" xfId="6" applyNumberFormat="1" applyFont="1" applyAlignment="1">
      <alignment horizontal="left"/>
    </xf>
    <xf numFmtId="49" fontId="12" fillId="3" borderId="0" xfId="6" applyNumberFormat="1" applyFont="1" applyAlignment="1">
      <alignment horizontal="left"/>
    </xf>
    <xf numFmtId="49" fontId="29" fillId="10" borderId="2" xfId="13" applyNumberFormat="1" applyFont="1" applyFill="1" applyBorder="1" applyAlignment="1">
      <alignment horizontal="center" vertical="center"/>
    </xf>
    <xf numFmtId="0" fontId="29" fillId="10" borderId="2" xfId="6" applyFont="1" applyFill="1" applyBorder="1" applyAlignment="1">
      <alignment horizontal="center" vertical="center"/>
    </xf>
    <xf numFmtId="49" fontId="29" fillId="10" borderId="2" xfId="6" applyNumberFormat="1" applyFont="1" applyFill="1" applyBorder="1" applyAlignment="1">
      <alignment horizontal="center" vertical="center"/>
    </xf>
    <xf numFmtId="0" fontId="29" fillId="11" borderId="0" xfId="8" applyFont="1" applyFill="1" applyBorder="1" applyAlignment="1">
      <alignment horizontal="center" vertical="center" shrinkToFit="1"/>
    </xf>
    <xf numFmtId="0" fontId="5" fillId="0" borderId="1" xfId="2" applyFill="1" applyBorder="1" applyAlignment="1">
      <alignment horizontal="center" vertical="center"/>
    </xf>
    <xf numFmtId="0" fontId="5" fillId="0" borderId="3" xfId="2" applyFill="1" applyBorder="1" applyAlignment="1">
      <alignment horizontal="center" vertical="center"/>
    </xf>
    <xf numFmtId="0" fontId="28" fillId="0" borderId="3" xfId="5" applyFont="1" applyFill="1" applyBorder="1" applyAlignment="1">
      <alignment horizontal="center" vertical="center"/>
    </xf>
    <xf numFmtId="0" fontId="14" fillId="3" borderId="3" xfId="5" applyFont="1" applyFill="1" applyBorder="1" applyAlignment="1">
      <alignment horizontal="center" vertical="center" shrinkToFit="1"/>
    </xf>
    <xf numFmtId="180" fontId="14" fillId="0" borderId="3" xfId="1" applyNumberFormat="1" applyFont="1" applyFill="1" applyBorder="1" applyAlignment="1">
      <alignment horizontal="left" vertical="center"/>
    </xf>
    <xf numFmtId="182" fontId="20" fillId="0" borderId="3" xfId="13" applyNumberFormat="1" applyFont="1" applyFill="1" applyBorder="1" applyAlignment="1">
      <alignment horizontal="left" vertical="center"/>
    </xf>
    <xf numFmtId="180" fontId="20" fillId="0" borderId="3" xfId="1" applyNumberFormat="1" applyFont="1" applyFill="1" applyBorder="1" applyAlignment="1">
      <alignment horizontal="center" vertical="center"/>
    </xf>
    <xf numFmtId="49" fontId="20" fillId="0" borderId="3" xfId="1" applyNumberFormat="1" applyFont="1" applyFill="1" applyBorder="1" applyAlignment="1">
      <alignment horizontal="center" vertical="center"/>
    </xf>
    <xf numFmtId="180" fontId="20" fillId="0" borderId="3" xfId="1" applyNumberFormat="1" applyFont="1" applyFill="1" applyBorder="1" applyAlignment="1">
      <alignment vertical="center"/>
    </xf>
    <xf numFmtId="0" fontId="12" fillId="0" borderId="3" xfId="8" applyFont="1" applyFill="1" applyBorder="1" applyAlignment="1">
      <alignment horizontal="left" vertical="center" shrinkToFit="1"/>
    </xf>
    <xf numFmtId="0" fontId="14" fillId="8" borderId="1" xfId="5" applyFont="1" applyFill="1" applyBorder="1" applyAlignment="1">
      <alignment horizontal="center" vertical="center"/>
    </xf>
    <xf numFmtId="0" fontId="14" fillId="8" borderId="1" xfId="5" applyFont="1" applyFill="1" applyBorder="1" applyAlignment="1">
      <alignment horizontal="center" vertical="center" shrinkToFit="1"/>
    </xf>
    <xf numFmtId="0" fontId="20" fillId="8" borderId="1" xfId="5" applyFont="1" applyFill="1" applyBorder="1" applyAlignment="1">
      <alignment horizontal="left" vertical="center" wrapText="1"/>
    </xf>
    <xf numFmtId="0" fontId="14" fillId="8" borderId="1" xfId="6" applyFont="1" applyFill="1" applyBorder="1" applyAlignment="1">
      <alignment horizontal="center" vertical="center" shrinkToFit="1"/>
    </xf>
    <xf numFmtId="0" fontId="12" fillId="8" borderId="1" xfId="6" applyFont="1" applyFill="1" applyBorder="1" applyAlignment="1">
      <alignment horizontal="center" vertical="center" shrinkToFit="1"/>
    </xf>
    <xf numFmtId="0" fontId="14" fillId="8" borderId="3" xfId="5" applyFont="1" applyFill="1" applyBorder="1" applyAlignment="1">
      <alignment horizontal="center" vertical="center"/>
    </xf>
    <xf numFmtId="0" fontId="14" fillId="8" borderId="3" xfId="5" applyFont="1" applyFill="1" applyBorder="1" applyAlignment="1">
      <alignment horizontal="center" vertical="center" shrinkToFit="1"/>
    </xf>
    <xf numFmtId="0" fontId="14" fillId="8" borderId="3" xfId="6" applyFont="1" applyFill="1" applyBorder="1" applyAlignment="1">
      <alignment horizontal="center" vertical="center" shrinkToFit="1"/>
    </xf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0" fontId="39" fillId="0" borderId="0" xfId="0" applyFont="1" applyAlignment="1">
      <alignment vertical="center"/>
    </xf>
    <xf numFmtId="0" fontId="42" fillId="9" borderId="1" xfId="0" applyFont="1" applyFill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78" fontId="39" fillId="0" borderId="1" xfId="0" applyNumberFormat="1" applyFont="1" applyBorder="1" applyAlignment="1">
      <alignment vertical="center"/>
    </xf>
    <xf numFmtId="0" fontId="38" fillId="9" borderId="1" xfId="0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178" fontId="39" fillId="0" borderId="1" xfId="0" applyNumberFormat="1" applyFont="1" applyFill="1" applyBorder="1" applyAlignment="1">
      <alignment vertical="center"/>
    </xf>
    <xf numFmtId="0" fontId="39" fillId="0" borderId="0" xfId="0" applyFont="1" applyFill="1" applyAlignment="1">
      <alignment vertical="center"/>
    </xf>
    <xf numFmtId="178" fontId="39" fillId="3" borderId="1" xfId="0" applyNumberFormat="1" applyFont="1" applyFill="1" applyBorder="1" applyAlignment="1">
      <alignment vertical="center"/>
    </xf>
    <xf numFmtId="10" fontId="39" fillId="3" borderId="1" xfId="0" applyNumberFormat="1" applyFont="1" applyFill="1" applyBorder="1" applyAlignment="1">
      <alignment horizontal="center" vertical="center"/>
    </xf>
    <xf numFmtId="178" fontId="39" fillId="3" borderId="1" xfId="0" applyNumberFormat="1" applyFont="1" applyFill="1" applyBorder="1" applyAlignment="1">
      <alignment horizontal="center" vertical="center"/>
    </xf>
    <xf numFmtId="0" fontId="39" fillId="8" borderId="1" xfId="0" applyFont="1" applyFill="1" applyBorder="1" applyAlignment="1">
      <alignment horizontal="center" vertical="center"/>
    </xf>
    <xf numFmtId="178" fontId="39" fillId="8" borderId="1" xfId="0" applyNumberFormat="1" applyFont="1" applyFill="1" applyBorder="1" applyAlignment="1">
      <alignment vertical="center"/>
    </xf>
    <xf numFmtId="0" fontId="39" fillId="0" borderId="0" xfId="0" applyFont="1" applyAlignment="1">
      <alignment horizontal="center" vertical="center"/>
    </xf>
    <xf numFmtId="0" fontId="0" fillId="0" borderId="1" xfId="0" applyBorder="1"/>
    <xf numFmtId="0" fontId="45" fillId="0" borderId="1" xfId="0" applyFont="1" applyBorder="1"/>
    <xf numFmtId="178" fontId="0" fillId="0" borderId="1" xfId="0" applyNumberFormat="1" applyBorder="1"/>
    <xf numFmtId="0" fontId="44" fillId="0" borderId="1" xfId="0" applyFont="1" applyBorder="1"/>
    <xf numFmtId="0" fontId="48" fillId="16" borderId="1" xfId="0" applyFont="1" applyFill="1" applyBorder="1" applyAlignment="1">
      <alignment horizontal="center"/>
    </xf>
    <xf numFmtId="0" fontId="50" fillId="16" borderId="1" xfId="0" applyFont="1" applyFill="1" applyBorder="1" applyAlignment="1">
      <alignment horizontal="center"/>
    </xf>
    <xf numFmtId="178" fontId="47" fillId="0" borderId="1" xfId="0" applyNumberFormat="1" applyFont="1" applyBorder="1" applyAlignment="1">
      <alignment horizontal="center"/>
    </xf>
    <xf numFmtId="0" fontId="47" fillId="0" borderId="0" xfId="0" applyFont="1" applyAlignment="1">
      <alignment horizontal="center"/>
    </xf>
    <xf numFmtId="0" fontId="51" fillId="0" borderId="1" xfId="0" applyFont="1" applyBorder="1" applyAlignment="1">
      <alignment horizontal="center"/>
    </xf>
    <xf numFmtId="0" fontId="52" fillId="0" borderId="0" xfId="0" applyFont="1"/>
    <xf numFmtId="0" fontId="46" fillId="0" borderId="1" xfId="0" applyFont="1" applyBorder="1"/>
    <xf numFmtId="179" fontId="0" fillId="0" borderId="1" xfId="0" applyNumberFormat="1" applyBorder="1"/>
    <xf numFmtId="0" fontId="18" fillId="0" borderId="0" xfId="0" applyFont="1"/>
    <xf numFmtId="0" fontId="14" fillId="6" borderId="3" xfId="5" applyFont="1" applyFill="1" applyBorder="1" applyAlignment="1">
      <alignment horizontal="center" vertical="center"/>
    </xf>
    <xf numFmtId="0" fontId="14" fillId="6" borderId="3" xfId="5" applyFont="1" applyFill="1" applyBorder="1" applyAlignment="1">
      <alignment horizontal="center" vertical="center" shrinkToFit="1"/>
    </xf>
    <xf numFmtId="0" fontId="20" fillId="6" borderId="1" xfId="5" applyFont="1" applyFill="1" applyBorder="1" applyAlignment="1">
      <alignment horizontal="left" vertical="center" wrapText="1"/>
    </xf>
    <xf numFmtId="0" fontId="14" fillId="6" borderId="1" xfId="6" applyFont="1" applyFill="1" applyBorder="1" applyAlignment="1">
      <alignment horizontal="center" vertical="center" shrinkToFit="1"/>
    </xf>
    <xf numFmtId="0" fontId="12" fillId="6" borderId="1" xfId="6" applyFont="1" applyFill="1" applyBorder="1" applyAlignment="1">
      <alignment horizontal="center" vertical="center" shrinkToFit="1"/>
    </xf>
    <xf numFmtId="0" fontId="54" fillId="6" borderId="1" xfId="5" applyFont="1" applyFill="1" applyBorder="1" applyAlignment="1">
      <alignment horizontal="left" vertical="center" wrapText="1"/>
    </xf>
    <xf numFmtId="0" fontId="29" fillId="17" borderId="0" xfId="6" applyFont="1" applyFill="1" applyBorder="1" applyAlignment="1">
      <alignment horizontal="center" vertical="center" wrapText="1"/>
    </xf>
    <xf numFmtId="178" fontId="37" fillId="8" borderId="0" xfId="0" applyNumberFormat="1" applyFont="1" applyFill="1" applyProtection="1"/>
    <xf numFmtId="179" fontId="37" fillId="8" borderId="0" xfId="0" applyNumberFormat="1" applyFont="1" applyFill="1" applyAlignment="1" applyProtection="1">
      <alignment horizontal="center"/>
    </xf>
    <xf numFmtId="179" fontId="37" fillId="8" borderId="0" xfId="0" applyNumberFormat="1" applyFont="1" applyFill="1" applyProtection="1"/>
    <xf numFmtId="9" fontId="37" fillId="8" borderId="0" xfId="0" applyNumberFormat="1" applyFont="1" applyFill="1" applyAlignment="1" applyProtection="1">
      <alignment horizontal="center"/>
    </xf>
    <xf numFmtId="0" fontId="20" fillId="3" borderId="3" xfId="5" applyFont="1" applyFill="1" applyBorder="1" applyAlignment="1">
      <alignment horizontal="left" vertical="center" wrapText="1"/>
    </xf>
    <xf numFmtId="0" fontId="20" fillId="3" borderId="1" xfId="0" applyFont="1" applyFill="1" applyBorder="1" applyAlignment="1">
      <alignment horizontal="left" vertical="center" wrapText="1"/>
    </xf>
    <xf numFmtId="0" fontId="14" fillId="9" borderId="3" xfId="5" applyFont="1" applyFill="1" applyBorder="1" applyAlignment="1">
      <alignment horizontal="center" vertical="center"/>
    </xf>
    <xf numFmtId="0" fontId="14" fillId="9" borderId="3" xfId="5" applyFont="1" applyFill="1" applyBorder="1" applyAlignment="1">
      <alignment horizontal="center" vertical="center" shrinkToFit="1"/>
    </xf>
    <xf numFmtId="0" fontId="54" fillId="9" borderId="1" xfId="5" applyFont="1" applyFill="1" applyBorder="1" applyAlignment="1">
      <alignment horizontal="left" vertical="center" wrapText="1"/>
    </xf>
    <xf numFmtId="0" fontId="20" fillId="9" borderId="1" xfId="5" applyFont="1" applyFill="1" applyBorder="1" applyAlignment="1">
      <alignment horizontal="left" vertical="center" wrapText="1"/>
    </xf>
    <xf numFmtId="0" fontId="14" fillId="9" borderId="1" xfId="6" applyFont="1" applyFill="1" applyBorder="1" applyAlignment="1">
      <alignment horizontal="center" vertical="center" shrinkToFit="1"/>
    </xf>
    <xf numFmtId="0" fontId="12" fillId="9" borderId="1" xfId="6" applyFont="1" applyFill="1" applyBorder="1" applyAlignment="1">
      <alignment horizontal="center" vertical="center" shrinkToFit="1"/>
    </xf>
    <xf numFmtId="0" fontId="31" fillId="0" borderId="0" xfId="0" applyFont="1" applyProtection="1"/>
    <xf numFmtId="0" fontId="36" fillId="12" borderId="1" xfId="0" applyFont="1" applyFill="1" applyBorder="1" applyAlignment="1" applyProtection="1">
      <alignment horizontal="left" vertical="center"/>
    </xf>
    <xf numFmtId="178" fontId="31" fillId="0" borderId="1" xfId="0" applyNumberFormat="1" applyFont="1" applyBorder="1" applyAlignment="1" applyProtection="1">
      <alignment horizontal="left" vertical="center"/>
    </xf>
    <xf numFmtId="0" fontId="31" fillId="0" borderId="0" xfId="0" applyFont="1" applyAlignment="1" applyProtection="1">
      <alignment horizontal="left" vertical="center"/>
    </xf>
    <xf numFmtId="0" fontId="36" fillId="0" borderId="0" xfId="0" applyFont="1" applyAlignment="1" applyProtection="1">
      <alignment horizontal="center"/>
    </xf>
    <xf numFmtId="0" fontId="33" fillId="0" borderId="0" xfId="0" applyFont="1" applyAlignment="1" applyProtection="1">
      <alignment horizontal="center"/>
    </xf>
    <xf numFmtId="183" fontId="31" fillId="0" borderId="0" xfId="0" applyNumberFormat="1" applyFont="1" applyProtection="1"/>
    <xf numFmtId="179" fontId="31" fillId="0" borderId="0" xfId="0" applyNumberFormat="1" applyFont="1" applyProtection="1"/>
    <xf numFmtId="178" fontId="37" fillId="0" borderId="0" xfId="0" applyNumberFormat="1" applyFont="1" applyFill="1" applyProtection="1"/>
    <xf numFmtId="179" fontId="37" fillId="0" borderId="0" xfId="0" applyNumberFormat="1" applyFont="1" applyFill="1" applyAlignment="1" applyProtection="1">
      <alignment horizontal="center"/>
    </xf>
    <xf numFmtId="179" fontId="37" fillId="0" borderId="0" xfId="0" applyNumberFormat="1" applyFont="1" applyFill="1" applyProtection="1"/>
    <xf numFmtId="9" fontId="37" fillId="0" borderId="0" xfId="0" applyNumberFormat="1" applyFont="1" applyFill="1" applyAlignment="1" applyProtection="1">
      <alignment horizontal="center"/>
    </xf>
    <xf numFmtId="10" fontId="31" fillId="0" borderId="0" xfId="0" applyNumberFormat="1" applyFont="1" applyProtection="1"/>
    <xf numFmtId="179" fontId="31" fillId="0" borderId="1" xfId="0" applyNumberFormat="1" applyFont="1" applyFill="1" applyBorder="1" applyProtection="1"/>
    <xf numFmtId="178" fontId="31" fillId="0" borderId="1" xfId="0" applyNumberFormat="1" applyFont="1" applyFill="1" applyBorder="1" applyProtection="1"/>
    <xf numFmtId="0" fontId="31" fillId="0" borderId="0" xfId="0" applyFont="1" applyAlignment="1" applyProtection="1">
      <alignment horizontal="center"/>
    </xf>
    <xf numFmtId="0" fontId="15" fillId="0" borderId="0" xfId="0" applyFont="1" applyProtection="1"/>
    <xf numFmtId="0" fontId="16" fillId="0" borderId="0" xfId="0" applyFont="1" applyAlignment="1" applyProtection="1">
      <alignment horizontal="center"/>
    </xf>
    <xf numFmtId="0" fontId="16" fillId="6" borderId="0" xfId="0" applyFont="1" applyFill="1" applyAlignment="1" applyProtection="1">
      <alignment horizontal="center"/>
    </xf>
    <xf numFmtId="0" fontId="15" fillId="0" borderId="0" xfId="0" applyFont="1" applyAlignment="1" applyProtection="1">
      <alignment horizontal="center"/>
    </xf>
    <xf numFmtId="0" fontId="37" fillId="0" borderId="0" xfId="0" applyFont="1" applyAlignment="1" applyProtection="1">
      <alignment horizontal="center"/>
    </xf>
    <xf numFmtId="178" fontId="15" fillId="0" borderId="0" xfId="0" applyNumberFormat="1" applyFont="1" applyAlignment="1" applyProtection="1">
      <alignment horizontal="left"/>
    </xf>
    <xf numFmtId="179" fontId="15" fillId="0" borderId="0" xfId="0" applyNumberFormat="1" applyFont="1" applyAlignment="1" applyProtection="1">
      <alignment horizontal="center"/>
    </xf>
    <xf numFmtId="178" fontId="15" fillId="0" borderId="0" xfId="0" applyNumberFormat="1" applyFont="1" applyProtection="1"/>
    <xf numFmtId="0" fontId="15" fillId="3" borderId="0" xfId="0" applyFont="1" applyFill="1" applyBorder="1" applyProtection="1"/>
    <xf numFmtId="0" fontId="15" fillId="5" borderId="0" xfId="0" applyFont="1" applyFill="1" applyAlignment="1" applyProtection="1">
      <alignment horizontal="center"/>
    </xf>
    <xf numFmtId="178" fontId="15" fillId="5" borderId="0" xfId="0" applyNumberFormat="1" applyFont="1" applyFill="1" applyAlignment="1" applyProtection="1">
      <alignment horizontal="left"/>
    </xf>
    <xf numFmtId="9" fontId="15" fillId="5" borderId="0" xfId="0" applyNumberFormat="1" applyFont="1" applyFill="1" applyAlignment="1" applyProtection="1">
      <alignment horizontal="center"/>
    </xf>
    <xf numFmtId="0" fontId="21" fillId="0" borderId="0" xfId="0" applyFont="1" applyAlignment="1" applyProtection="1"/>
    <xf numFmtId="0" fontId="15" fillId="0" borderId="0" xfId="0" applyFont="1" applyAlignment="1" applyProtection="1">
      <alignment horizontal="left" vertical="center"/>
    </xf>
    <xf numFmtId="0" fontId="57" fillId="0" borderId="1" xfId="2" applyFont="1" applyFill="1" applyBorder="1" applyAlignment="1">
      <alignment horizontal="center" vertical="center"/>
    </xf>
    <xf numFmtId="178" fontId="12" fillId="3" borderId="0" xfId="7" applyNumberFormat="1" applyFont="1" applyFill="1"/>
    <xf numFmtId="178" fontId="12" fillId="3" borderId="0" xfId="7" applyNumberFormat="1" applyFont="1" applyFill="1" applyAlignment="1">
      <alignment horizontal="left"/>
    </xf>
    <xf numFmtId="178" fontId="12" fillId="3" borderId="0" xfId="6" applyNumberFormat="1" applyFont="1"/>
    <xf numFmtId="178" fontId="12" fillId="3" borderId="0" xfId="6" applyNumberFormat="1" applyFont="1" applyAlignment="1">
      <alignment horizontal="left"/>
    </xf>
    <xf numFmtId="178" fontId="27" fillId="7" borderId="0" xfId="6" applyNumberFormat="1" applyFont="1" applyFill="1" applyBorder="1" applyAlignment="1">
      <alignment horizontal="center" vertical="center"/>
    </xf>
    <xf numFmtId="178" fontId="12" fillId="8" borderId="1" xfId="1" applyNumberFormat="1" applyFont="1" applyFill="1" applyBorder="1" applyAlignment="1">
      <alignment horizontal="left" vertical="center"/>
    </xf>
    <xf numFmtId="178" fontId="14" fillId="8" borderId="1" xfId="1" applyNumberFormat="1" applyFont="1" applyFill="1" applyBorder="1" applyAlignment="1">
      <alignment horizontal="left" vertical="center"/>
    </xf>
    <xf numFmtId="178" fontId="12" fillId="3" borderId="1" xfId="1" applyNumberFormat="1" applyFont="1" applyFill="1" applyBorder="1" applyAlignment="1">
      <alignment horizontal="left" vertical="center"/>
    </xf>
    <xf numFmtId="178" fontId="12" fillId="0" borderId="1" xfId="1" applyNumberFormat="1" applyFont="1" applyFill="1" applyBorder="1" applyAlignment="1">
      <alignment horizontal="left" vertical="center"/>
    </xf>
    <xf numFmtId="178" fontId="12" fillId="3" borderId="1" xfId="1" applyNumberFormat="1" applyFont="1" applyFill="1" applyBorder="1" applyAlignment="1" applyProtection="1">
      <alignment horizontal="left" vertical="center"/>
    </xf>
    <xf numFmtId="178" fontId="12" fillId="6" borderId="1" xfId="1" applyNumberFormat="1" applyFont="1" applyFill="1" applyBorder="1" applyAlignment="1">
      <alignment horizontal="left" vertical="center"/>
    </xf>
    <xf numFmtId="178" fontId="12" fillId="9" borderId="1" xfId="1" applyNumberFormat="1" applyFont="1" applyFill="1" applyBorder="1" applyAlignment="1">
      <alignment horizontal="left" vertical="center"/>
    </xf>
    <xf numFmtId="178" fontId="0" fillId="0" borderId="0" xfId="0" applyNumberFormat="1"/>
    <xf numFmtId="178" fontId="0" fillId="0" borderId="0" xfId="0" applyNumberFormat="1" applyProtection="1"/>
    <xf numFmtId="0" fontId="12" fillId="0" borderId="3" xfId="6" applyFont="1" applyFill="1" applyBorder="1" applyAlignment="1">
      <alignment horizontal="center" vertical="center" shrinkToFit="1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21" fillId="0" borderId="0" xfId="0" applyFont="1" applyAlignment="1" applyProtection="1">
      <alignment horizontal="center"/>
    </xf>
    <xf numFmtId="0" fontId="30" fillId="3" borderId="0" xfId="6" applyFont="1" applyAlignment="1">
      <alignment horizontal="left"/>
    </xf>
    <xf numFmtId="0" fontId="34" fillId="0" borderId="0" xfId="0" applyFont="1" applyAlignment="1" applyProtection="1">
      <alignment horizontal="center"/>
    </xf>
    <xf numFmtId="0" fontId="31" fillId="0" borderId="0" xfId="0" applyFont="1" applyAlignment="1" applyProtection="1">
      <alignment horizontal="left" vertical="top" wrapText="1"/>
    </xf>
    <xf numFmtId="179" fontId="31" fillId="8" borderId="1" xfId="0" applyNumberFormat="1" applyFont="1" applyFill="1" applyBorder="1" applyAlignment="1" applyProtection="1">
      <alignment horizontal="center"/>
    </xf>
    <xf numFmtId="0" fontId="39" fillId="0" borderId="8" xfId="0" applyFont="1" applyBorder="1" applyAlignment="1">
      <alignment horizontal="left" vertical="center" wrapText="1"/>
    </xf>
    <xf numFmtId="0" fontId="39" fillId="0" borderId="8" xfId="0" applyFont="1" applyBorder="1" applyAlignment="1">
      <alignment horizontal="left" vertical="center"/>
    </xf>
    <xf numFmtId="0" fontId="40" fillId="0" borderId="0" xfId="0" applyFont="1" applyBorder="1" applyAlignment="1">
      <alignment horizontal="center" vertical="center" wrapText="1"/>
    </xf>
    <xf numFmtId="0" fontId="40" fillId="0" borderId="0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38" fillId="13" borderId="0" xfId="0" applyFont="1" applyFill="1" applyBorder="1" applyAlignment="1">
      <alignment horizontal="center" vertical="center" wrapText="1"/>
    </xf>
    <xf numFmtId="0" fontId="38" fillId="13" borderId="4" xfId="0" applyFont="1" applyFill="1" applyBorder="1" applyAlignment="1">
      <alignment horizontal="center" vertical="center" wrapText="1"/>
    </xf>
    <xf numFmtId="0" fontId="39" fillId="0" borderId="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  <xf numFmtId="0" fontId="39" fillId="14" borderId="6" xfId="0" applyFont="1" applyFill="1" applyBorder="1" applyAlignment="1">
      <alignment horizontal="center" vertical="center" wrapText="1"/>
    </xf>
    <xf numFmtId="0" fontId="39" fillId="14" borderId="7" xfId="0" applyFont="1" applyFill="1" applyBorder="1" applyAlignment="1">
      <alignment horizontal="center" vertical="center" wrapText="1"/>
    </xf>
    <xf numFmtId="178" fontId="38" fillId="15" borderId="6" xfId="0" applyNumberFormat="1" applyFont="1" applyFill="1" applyBorder="1" applyAlignment="1">
      <alignment horizontal="center" vertical="center"/>
    </xf>
    <xf numFmtId="178" fontId="38" fillId="15" borderId="7" xfId="0" applyNumberFormat="1" applyFont="1" applyFill="1" applyBorder="1" applyAlignment="1">
      <alignment horizontal="center" vertical="center"/>
    </xf>
  </cellXfs>
  <cellStyles count="16">
    <cellStyle name="Checked" xfId="2" xr:uid="{00000000-0005-0000-0000-000000000000}"/>
    <cellStyle name="Comma_E&amp;Y" xfId="11" xr:uid="{86CDD08D-B33D-43D9-B556-776C1E45E609}"/>
    <cellStyle name="Currency Custom" xfId="1" xr:uid="{00000000-0005-0000-0000-000001000000}"/>
    <cellStyle name="Indent" xfId="8" xr:uid="{00000000-0005-0000-0000-000002000000}"/>
    <cellStyle name="Item" xfId="5" xr:uid="{00000000-0005-0000-0000-000003000000}"/>
    <cellStyle name="Normal_E&amp;Y" xfId="12" xr:uid="{02905614-E0A2-4C57-BD02-C0F0F5237BB6}"/>
    <cellStyle name="Purple Background" xfId="7" xr:uid="{00000000-0005-0000-0000-000004000000}"/>
    <cellStyle name="Table Headers" xfId="4" xr:uid="{00000000-0005-0000-0000-000005000000}"/>
    <cellStyle name="White Background" xfId="6" xr:uid="{00000000-0005-0000-0000-000006000000}"/>
    <cellStyle name="一般" xfId="0" builtinId="0" customBuiltin="1"/>
    <cellStyle name="一般 2" xfId="9" xr:uid="{00000000-0005-0000-0000-000008000000}"/>
    <cellStyle name="一般 3" xfId="14" xr:uid="{8E56E044-D6AD-41BB-B68F-71C5673050D1}"/>
    <cellStyle name="千分位 2" xfId="10" xr:uid="{F6D1AA53-C78A-43AE-AB7A-8474337DFF4F}"/>
    <cellStyle name="千分位 3" xfId="15" xr:uid="{AF3B2553-3949-412A-BB44-81B7AF76FDDE}"/>
    <cellStyle name="貨幣" xfId="13" builtinId="4"/>
    <cellStyle name="標題 1" xfId="3" builtinId="16" customBuiltin="1"/>
  </cellStyles>
  <dxfs count="119">
    <dxf>
      <font>
        <color rgb="FF9C0006"/>
      </font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numFmt numFmtId="179" formatCode="0.0%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numFmt numFmtId="178" formatCode="&quot;NT$&quot;#,##0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numFmt numFmtId="13" formatCode="0%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numFmt numFmtId="178" formatCode="&quot;NT$&quot;#,##0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numFmt numFmtId="178" formatCode="&quot;NT$&quot;#,##0"/>
      <fill>
        <patternFill patternType="none">
          <fgColor indexed="64"/>
          <bgColor auto="1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fill>
        <patternFill patternType="none">
          <fgColor indexed="64"/>
          <bgColor auto="1"/>
        </patternFill>
      </fill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微軟正黑體"/>
        <charset val="136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scheme val="none"/>
      </font>
      <fill>
        <patternFill patternType="none">
          <fgColor indexed="64"/>
          <bgColor theme="0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numFmt numFmtId="180" formatCode="&quot;NT$&quot;#,##0_);[Red]\(&quot;NT$&quot;#,##0\)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numFmt numFmtId="180" formatCode="&quot;NT$&quot;#,##0_);[Red]\(&quot;NT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numFmt numFmtId="180" formatCode="&quot;NT$&quot;#,##0_);[Red]\(&quot;NT$&quot;#,##0\)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numFmt numFmtId="182" formatCode="_-&quot;$&quot;* #,##0_-;\-&quot;$&quot;* #,##0_-;_-&quot;$&quot;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numFmt numFmtId="182" formatCode="_-&quot;$&quot;* #,##0_-;\-&quot;$&quot;* #,##0_-;_-&quot;$&quot;* &quot;-&quot;??_-;_-@_-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numFmt numFmtId="180" formatCode="&quot;NT$&quot;#,##0_);[Red]\(&quot;NT$&quot;#,##0\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numFmt numFmtId="180" formatCode="&quot;NT$&quot;#,##0_);[Red]\(&quot;NT$&quot;#,##0\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numFmt numFmtId="180" formatCode="&quot;NT$&quot;#,##0_);[Red]\(&quot;NT$&quot;#,##0\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8" formatCode="&quot;NT$&quot;#,##0"/>
      <protection locked="1" hidden="0"/>
    </dxf>
    <dxf>
      <font>
        <strike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numFmt numFmtId="178" formatCode="&quot;NT$&quot;#,##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78" formatCode="&quot;NT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numFmt numFmtId="178" formatCode="&quot;NT$&quot;#,##0"/>
      <fill>
        <patternFill patternType="solid">
          <fgColor indexed="64"/>
          <bgColor theme="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3"/>
        <name val="微軟正黑體"/>
        <family val="2"/>
        <charset val="136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8"/>
        <name val="微軟正黑體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8"/>
        <name val="Webdings"/>
        <scheme val="none"/>
      </font>
      <fill>
        <patternFill patternType="none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color theme="0"/>
        <name val="Microsoft JhengHei UI"/>
        <scheme val="none"/>
      </font>
      <fill>
        <patternFill patternType="solid">
          <fgColor indexed="64"/>
          <bgColor theme="1"/>
        </patternFill>
      </fill>
      <border diagonalUp="0" diagonalDown="0" outline="0">
        <left style="hair">
          <color auto="1"/>
        </left>
        <right style="hair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9" formatCode="0.0%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8" formatCode="&quot;NT$&quot;#,##0"/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numFmt numFmtId="178" formatCode="&quot;NT$&quot;#,##0"/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ill>
        <patternFill patternType="solid">
          <fgColor indexed="64"/>
          <bgColor theme="4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9" formatCode="0.0%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8" formatCode="&quot;NT$&quot;#,##0"/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numFmt numFmtId="178" formatCode="&quot;NT$&quot;#,##0"/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ill>
        <patternFill patternType="solid">
          <fgColor indexed="64"/>
          <bgColor theme="4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9" formatCode="0.0%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8" formatCode="&quot;NT$&quot;#,##0"/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protection locked="1" hidden="0"/>
    </dxf>
    <dxf>
      <numFmt numFmtId="178" formatCode="&quot;NT$&quot;#,##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numFmt numFmtId="178" formatCode="&quot;NT$&quot;#,##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ill>
        <patternFill patternType="solid">
          <fgColor indexed="64"/>
          <bgColor theme="4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3" formatCode="0%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9" formatCode="0.0%"/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numFmt numFmtId="178" formatCode="&quot;NT$&quot;#,##0"/>
      <fill>
        <patternFill patternType="solid">
          <fgColor indexed="64"/>
          <bgColor theme="4" tint="0.79998168889431442"/>
        </patternFill>
      </fill>
      <alignment horizontal="left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numFmt numFmtId="178" formatCode="&quot;NT$&quot;#,##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protection locked="1" hidden="0"/>
    </dxf>
    <dxf>
      <protection locked="1" hidden="0"/>
    </dxf>
    <dxf>
      <fill>
        <patternFill patternType="solid">
          <fgColor indexed="64"/>
          <bgColor theme="4" tint="0.79998168889431442"/>
        </patternFill>
      </fill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/>
        <name val="微軟正黑體"/>
        <scheme val="none"/>
      </font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family val="2"/>
        <charset val="136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3"/>
        <name val="微軟正黑體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3"/>
        <name val="微軟正黑體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2"/>
        </patternFill>
      </fill>
    </dxf>
    <dxf>
      <font>
        <color theme="8"/>
      </font>
      <border>
        <bottom style="medium">
          <color theme="8"/>
        </bottom>
      </border>
    </dxf>
    <dxf>
      <fill>
        <patternFill>
          <bgColor theme="0"/>
        </patternFill>
      </fill>
    </dxf>
  </dxfs>
  <tableStyles count="1" defaultTableStyle="TableStyleMedium2" defaultPivotStyle="PivotStyleLight16">
    <tableStyle name="Grocery List" pivot="0" count="3" xr9:uid="{00000000-0011-0000-FFFF-FFFF00000000}">
      <tableStyleElement type="wholeTable" dxfId="118"/>
      <tableStyleElement type="headerRow" dxfId="117"/>
      <tableStyleElement type="firstRowStripe" dxfId="116"/>
    </tableStyle>
  </tableStyles>
  <colors>
    <mruColors>
      <color rgb="FF171C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134408</xdr:colOff>
      <xdr:row>3</xdr:row>
      <xdr:rowOff>211757</xdr:rowOff>
    </xdr:from>
    <xdr:ext cx="150495" cy="148431"/>
    <xdr:sp macro="" textlink="">
      <xdr:nvSpPr>
        <xdr:cNvPr id="4" name="手繪多邊形 5" descr="Used as a column header for the List table.  The column shows a blank checkbox for each item in the list, which can be checked while at the market." title="Check Mark Graphic">
          <a:extLst>
            <a:ext uri="{FF2B5EF4-FFF2-40B4-BE49-F238E27FC236}">
              <a16:creationId xmlns:a16="http://schemas.microsoft.com/office/drawing/2014/main" id="{E056DA01-9C8A-4C54-844F-20F5BA2FF103}"/>
            </a:ext>
          </a:extLst>
        </xdr:cNvPr>
        <xdr:cNvSpPr>
          <a:spLocks noChangeAspect="1"/>
        </xdr:cNvSpPr>
      </xdr:nvSpPr>
      <xdr:spPr bwMode="auto">
        <a:xfrm>
          <a:off x="293158" y="979049"/>
          <a:ext cx="161925" cy="148431"/>
        </a:xfrm>
        <a:custGeom>
          <a:avLst/>
          <a:gdLst>
            <a:gd name="T0" fmla="*/ 3078 w 3139"/>
            <a:gd name="T1" fmla="*/ 507 h 2797"/>
            <a:gd name="T2" fmla="*/ 2899 w 3139"/>
            <a:gd name="T3" fmla="*/ 687 h 2797"/>
            <a:gd name="T4" fmla="*/ 2725 w 3139"/>
            <a:gd name="T5" fmla="*/ 885 h 2797"/>
            <a:gd name="T6" fmla="*/ 2558 w 3139"/>
            <a:gd name="T7" fmla="*/ 1098 h 2797"/>
            <a:gd name="T8" fmla="*/ 2397 w 3139"/>
            <a:gd name="T9" fmla="*/ 1318 h 2797"/>
            <a:gd name="T10" fmla="*/ 2247 w 3139"/>
            <a:gd name="T11" fmla="*/ 1541 h 2797"/>
            <a:gd name="T12" fmla="*/ 2108 w 3139"/>
            <a:gd name="T13" fmla="*/ 1762 h 2797"/>
            <a:gd name="T14" fmla="*/ 1980 w 3139"/>
            <a:gd name="T15" fmla="*/ 1974 h 2797"/>
            <a:gd name="T16" fmla="*/ 1866 w 3139"/>
            <a:gd name="T17" fmla="*/ 2174 h 2797"/>
            <a:gd name="T18" fmla="*/ 1767 w 3139"/>
            <a:gd name="T19" fmla="*/ 2355 h 2797"/>
            <a:gd name="T20" fmla="*/ 1684 w 3139"/>
            <a:gd name="T21" fmla="*/ 2512 h 2797"/>
            <a:gd name="T22" fmla="*/ 1619 w 3139"/>
            <a:gd name="T23" fmla="*/ 2640 h 2797"/>
            <a:gd name="T24" fmla="*/ 1573 w 3139"/>
            <a:gd name="T25" fmla="*/ 2733 h 2797"/>
            <a:gd name="T26" fmla="*/ 1548 w 3139"/>
            <a:gd name="T27" fmla="*/ 2786 h 2797"/>
            <a:gd name="T28" fmla="*/ 1482 w 3139"/>
            <a:gd name="T29" fmla="*/ 2743 h 2797"/>
            <a:gd name="T30" fmla="*/ 1293 w 3139"/>
            <a:gd name="T31" fmla="*/ 2586 h 2797"/>
            <a:gd name="T32" fmla="*/ 1098 w 3139"/>
            <a:gd name="T33" fmla="*/ 2438 h 2797"/>
            <a:gd name="T34" fmla="*/ 903 w 3139"/>
            <a:gd name="T35" fmla="*/ 2302 h 2797"/>
            <a:gd name="T36" fmla="*/ 711 w 3139"/>
            <a:gd name="T37" fmla="*/ 2180 h 2797"/>
            <a:gd name="T38" fmla="*/ 532 w 3139"/>
            <a:gd name="T39" fmla="*/ 2072 h 2797"/>
            <a:gd name="T40" fmla="*/ 369 w 3139"/>
            <a:gd name="T41" fmla="*/ 1977 h 2797"/>
            <a:gd name="T42" fmla="*/ 229 w 3139"/>
            <a:gd name="T43" fmla="*/ 1901 h 2797"/>
            <a:gd name="T44" fmla="*/ 118 w 3139"/>
            <a:gd name="T45" fmla="*/ 1843 h 2797"/>
            <a:gd name="T46" fmla="*/ 40 w 3139"/>
            <a:gd name="T47" fmla="*/ 1804 h 2797"/>
            <a:gd name="T48" fmla="*/ 3 w 3139"/>
            <a:gd name="T49" fmla="*/ 1786 h 2797"/>
            <a:gd name="T50" fmla="*/ 441 w 3139"/>
            <a:gd name="T51" fmla="*/ 1197 h 2797"/>
            <a:gd name="T52" fmla="*/ 574 w 3139"/>
            <a:gd name="T53" fmla="*/ 1277 h 2797"/>
            <a:gd name="T54" fmla="*/ 713 w 3139"/>
            <a:gd name="T55" fmla="*/ 1365 h 2797"/>
            <a:gd name="T56" fmla="*/ 852 w 3139"/>
            <a:gd name="T57" fmla="*/ 1456 h 2797"/>
            <a:gd name="T58" fmla="*/ 984 w 3139"/>
            <a:gd name="T59" fmla="*/ 1544 h 2797"/>
            <a:gd name="T60" fmla="*/ 1102 w 3139"/>
            <a:gd name="T61" fmla="*/ 1626 h 2797"/>
            <a:gd name="T62" fmla="*/ 1202 w 3139"/>
            <a:gd name="T63" fmla="*/ 1695 h 2797"/>
            <a:gd name="T64" fmla="*/ 1277 w 3139"/>
            <a:gd name="T65" fmla="*/ 1747 h 2797"/>
            <a:gd name="T66" fmla="*/ 1321 w 3139"/>
            <a:gd name="T67" fmla="*/ 1778 h 2797"/>
            <a:gd name="T68" fmla="*/ 1373 w 3139"/>
            <a:gd name="T69" fmla="*/ 1694 h 2797"/>
            <a:gd name="T70" fmla="*/ 1509 w 3139"/>
            <a:gd name="T71" fmla="*/ 1431 h 2797"/>
            <a:gd name="T72" fmla="*/ 1653 w 3139"/>
            <a:gd name="T73" fmla="*/ 1185 h 2797"/>
            <a:gd name="T74" fmla="*/ 1801 w 3139"/>
            <a:gd name="T75" fmla="*/ 956 h 2797"/>
            <a:gd name="T76" fmla="*/ 1948 w 3139"/>
            <a:gd name="T77" fmla="*/ 747 h 2797"/>
            <a:gd name="T78" fmla="*/ 2089 w 3139"/>
            <a:gd name="T79" fmla="*/ 560 h 2797"/>
            <a:gd name="T80" fmla="*/ 2221 w 3139"/>
            <a:gd name="T81" fmla="*/ 397 h 2797"/>
            <a:gd name="T82" fmla="*/ 2338 w 3139"/>
            <a:gd name="T83" fmla="*/ 259 h 2797"/>
            <a:gd name="T84" fmla="*/ 2437 w 3139"/>
            <a:gd name="T85" fmla="*/ 149 h 2797"/>
            <a:gd name="T86" fmla="*/ 2514 w 3139"/>
            <a:gd name="T87" fmla="*/ 67 h 2797"/>
            <a:gd name="T88" fmla="*/ 2563 w 3139"/>
            <a:gd name="T89" fmla="*/ 17 h 2797"/>
            <a:gd name="T90" fmla="*/ 2580 w 3139"/>
            <a:gd name="T91" fmla="*/ 0 h 2797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  <a:cxn ang="0">
              <a:pos x="T12" y="T13"/>
            </a:cxn>
            <a:cxn ang="0">
              <a:pos x="T14" y="T15"/>
            </a:cxn>
            <a:cxn ang="0">
              <a:pos x="T16" y="T17"/>
            </a:cxn>
            <a:cxn ang="0">
              <a:pos x="T18" y="T19"/>
            </a:cxn>
            <a:cxn ang="0">
              <a:pos x="T20" y="T21"/>
            </a:cxn>
            <a:cxn ang="0">
              <a:pos x="T22" y="T23"/>
            </a:cxn>
            <a:cxn ang="0">
              <a:pos x="T24" y="T25"/>
            </a:cxn>
            <a:cxn ang="0">
              <a:pos x="T26" y="T27"/>
            </a:cxn>
            <a:cxn ang="0">
              <a:pos x="T28" y="T29"/>
            </a:cxn>
            <a:cxn ang="0">
              <a:pos x="T30" y="T31"/>
            </a:cxn>
            <a:cxn ang="0">
              <a:pos x="T32" y="T33"/>
            </a:cxn>
            <a:cxn ang="0">
              <a:pos x="T34" y="T35"/>
            </a:cxn>
            <a:cxn ang="0">
              <a:pos x="T36" y="T37"/>
            </a:cxn>
            <a:cxn ang="0">
              <a:pos x="T38" y="T39"/>
            </a:cxn>
            <a:cxn ang="0">
              <a:pos x="T40" y="T41"/>
            </a:cxn>
            <a:cxn ang="0">
              <a:pos x="T42" y="T43"/>
            </a:cxn>
            <a:cxn ang="0">
              <a:pos x="T44" y="T45"/>
            </a:cxn>
            <a:cxn ang="0">
              <a:pos x="T46" y="T47"/>
            </a:cxn>
            <a:cxn ang="0">
              <a:pos x="T48" y="T49"/>
            </a:cxn>
            <a:cxn ang="0">
              <a:pos x="T50" y="T51"/>
            </a:cxn>
            <a:cxn ang="0">
              <a:pos x="T52" y="T53"/>
            </a:cxn>
            <a:cxn ang="0">
              <a:pos x="T54" y="T55"/>
            </a:cxn>
            <a:cxn ang="0">
              <a:pos x="T56" y="T57"/>
            </a:cxn>
            <a:cxn ang="0">
              <a:pos x="T58" y="T59"/>
            </a:cxn>
            <a:cxn ang="0">
              <a:pos x="T60" y="T61"/>
            </a:cxn>
            <a:cxn ang="0">
              <a:pos x="T62" y="T63"/>
            </a:cxn>
            <a:cxn ang="0">
              <a:pos x="T64" y="T65"/>
            </a:cxn>
            <a:cxn ang="0">
              <a:pos x="T66" y="T67"/>
            </a:cxn>
            <a:cxn ang="0">
              <a:pos x="T68" y="T69"/>
            </a:cxn>
            <a:cxn ang="0">
              <a:pos x="T70" y="T71"/>
            </a:cxn>
            <a:cxn ang="0">
              <a:pos x="T72" y="T73"/>
            </a:cxn>
            <a:cxn ang="0">
              <a:pos x="T74" y="T75"/>
            </a:cxn>
            <a:cxn ang="0">
              <a:pos x="T76" y="T77"/>
            </a:cxn>
            <a:cxn ang="0">
              <a:pos x="T78" y="T79"/>
            </a:cxn>
            <a:cxn ang="0">
              <a:pos x="T80" y="T81"/>
            </a:cxn>
            <a:cxn ang="0">
              <a:pos x="T82" y="T83"/>
            </a:cxn>
            <a:cxn ang="0">
              <a:pos x="T84" y="T85"/>
            </a:cxn>
            <a:cxn ang="0">
              <a:pos x="T86" y="T87"/>
            </a:cxn>
            <a:cxn ang="0">
              <a:pos x="T88" y="T89"/>
            </a:cxn>
            <a:cxn ang="0">
              <a:pos x="T90" y="T91"/>
            </a:cxn>
          </a:cxnLst>
          <a:rect l="0" t="0" r="r" b="b"/>
          <a:pathLst>
            <a:path w="3139" h="2797">
              <a:moveTo>
                <a:pt x="2580" y="0"/>
              </a:moveTo>
              <a:lnTo>
                <a:pt x="3139" y="453"/>
              </a:lnTo>
              <a:lnTo>
                <a:pt x="3078" y="507"/>
              </a:lnTo>
              <a:lnTo>
                <a:pt x="3018" y="566"/>
              </a:lnTo>
              <a:lnTo>
                <a:pt x="2958" y="625"/>
              </a:lnTo>
              <a:lnTo>
                <a:pt x="2899" y="687"/>
              </a:lnTo>
              <a:lnTo>
                <a:pt x="2840" y="752"/>
              </a:lnTo>
              <a:lnTo>
                <a:pt x="2782" y="818"/>
              </a:lnTo>
              <a:lnTo>
                <a:pt x="2725" y="885"/>
              </a:lnTo>
              <a:lnTo>
                <a:pt x="2669" y="955"/>
              </a:lnTo>
              <a:lnTo>
                <a:pt x="2613" y="1025"/>
              </a:lnTo>
              <a:lnTo>
                <a:pt x="2558" y="1098"/>
              </a:lnTo>
              <a:lnTo>
                <a:pt x="2504" y="1171"/>
              </a:lnTo>
              <a:lnTo>
                <a:pt x="2450" y="1244"/>
              </a:lnTo>
              <a:lnTo>
                <a:pt x="2397" y="1318"/>
              </a:lnTo>
              <a:lnTo>
                <a:pt x="2346" y="1392"/>
              </a:lnTo>
              <a:lnTo>
                <a:pt x="2296" y="1466"/>
              </a:lnTo>
              <a:lnTo>
                <a:pt x="2247" y="1541"/>
              </a:lnTo>
              <a:lnTo>
                <a:pt x="2199" y="1615"/>
              </a:lnTo>
              <a:lnTo>
                <a:pt x="2153" y="1689"/>
              </a:lnTo>
              <a:lnTo>
                <a:pt x="2108" y="1762"/>
              </a:lnTo>
              <a:lnTo>
                <a:pt x="2064" y="1834"/>
              </a:lnTo>
              <a:lnTo>
                <a:pt x="2021" y="1904"/>
              </a:lnTo>
              <a:lnTo>
                <a:pt x="1980" y="1974"/>
              </a:lnTo>
              <a:lnTo>
                <a:pt x="1941" y="2042"/>
              </a:lnTo>
              <a:lnTo>
                <a:pt x="1903" y="2110"/>
              </a:lnTo>
              <a:lnTo>
                <a:pt x="1866" y="2174"/>
              </a:lnTo>
              <a:lnTo>
                <a:pt x="1832" y="2237"/>
              </a:lnTo>
              <a:lnTo>
                <a:pt x="1798" y="2297"/>
              </a:lnTo>
              <a:lnTo>
                <a:pt x="1767" y="2355"/>
              </a:lnTo>
              <a:lnTo>
                <a:pt x="1738" y="2410"/>
              </a:lnTo>
              <a:lnTo>
                <a:pt x="1710" y="2462"/>
              </a:lnTo>
              <a:lnTo>
                <a:pt x="1684" y="2512"/>
              </a:lnTo>
              <a:lnTo>
                <a:pt x="1661" y="2559"/>
              </a:lnTo>
              <a:lnTo>
                <a:pt x="1639" y="2601"/>
              </a:lnTo>
              <a:lnTo>
                <a:pt x="1619" y="2640"/>
              </a:lnTo>
              <a:lnTo>
                <a:pt x="1602" y="2675"/>
              </a:lnTo>
              <a:lnTo>
                <a:pt x="1586" y="2706"/>
              </a:lnTo>
              <a:lnTo>
                <a:pt x="1573" y="2733"/>
              </a:lnTo>
              <a:lnTo>
                <a:pt x="1562" y="2756"/>
              </a:lnTo>
              <a:lnTo>
                <a:pt x="1554" y="2773"/>
              </a:lnTo>
              <a:lnTo>
                <a:pt x="1548" y="2786"/>
              </a:lnTo>
              <a:lnTo>
                <a:pt x="1544" y="2794"/>
              </a:lnTo>
              <a:lnTo>
                <a:pt x="1543" y="2797"/>
              </a:lnTo>
              <a:lnTo>
                <a:pt x="1482" y="2743"/>
              </a:lnTo>
              <a:lnTo>
                <a:pt x="1420" y="2689"/>
              </a:lnTo>
              <a:lnTo>
                <a:pt x="1357" y="2637"/>
              </a:lnTo>
              <a:lnTo>
                <a:pt x="1293" y="2586"/>
              </a:lnTo>
              <a:lnTo>
                <a:pt x="1229" y="2535"/>
              </a:lnTo>
              <a:lnTo>
                <a:pt x="1164" y="2486"/>
              </a:lnTo>
              <a:lnTo>
                <a:pt x="1098" y="2438"/>
              </a:lnTo>
              <a:lnTo>
                <a:pt x="1033" y="2391"/>
              </a:lnTo>
              <a:lnTo>
                <a:pt x="967" y="2346"/>
              </a:lnTo>
              <a:lnTo>
                <a:pt x="903" y="2302"/>
              </a:lnTo>
              <a:lnTo>
                <a:pt x="838" y="2260"/>
              </a:lnTo>
              <a:lnTo>
                <a:pt x="774" y="2219"/>
              </a:lnTo>
              <a:lnTo>
                <a:pt x="711" y="2180"/>
              </a:lnTo>
              <a:lnTo>
                <a:pt x="650" y="2142"/>
              </a:lnTo>
              <a:lnTo>
                <a:pt x="590" y="2106"/>
              </a:lnTo>
              <a:lnTo>
                <a:pt x="532" y="2072"/>
              </a:lnTo>
              <a:lnTo>
                <a:pt x="475" y="2038"/>
              </a:lnTo>
              <a:lnTo>
                <a:pt x="421" y="2007"/>
              </a:lnTo>
              <a:lnTo>
                <a:pt x="369" y="1977"/>
              </a:lnTo>
              <a:lnTo>
                <a:pt x="320" y="1950"/>
              </a:lnTo>
              <a:lnTo>
                <a:pt x="273" y="1925"/>
              </a:lnTo>
              <a:lnTo>
                <a:pt x="229" y="1901"/>
              </a:lnTo>
              <a:lnTo>
                <a:pt x="188" y="1880"/>
              </a:lnTo>
              <a:lnTo>
                <a:pt x="151" y="1860"/>
              </a:lnTo>
              <a:lnTo>
                <a:pt x="118" y="1843"/>
              </a:lnTo>
              <a:lnTo>
                <a:pt x="88" y="1828"/>
              </a:lnTo>
              <a:lnTo>
                <a:pt x="62" y="1815"/>
              </a:lnTo>
              <a:lnTo>
                <a:pt x="40" y="1804"/>
              </a:lnTo>
              <a:lnTo>
                <a:pt x="23" y="1796"/>
              </a:lnTo>
              <a:lnTo>
                <a:pt x="10" y="1790"/>
              </a:lnTo>
              <a:lnTo>
                <a:pt x="3" y="1786"/>
              </a:lnTo>
              <a:lnTo>
                <a:pt x="0" y="1785"/>
              </a:lnTo>
              <a:lnTo>
                <a:pt x="399" y="1173"/>
              </a:lnTo>
              <a:lnTo>
                <a:pt x="441" y="1197"/>
              </a:lnTo>
              <a:lnTo>
                <a:pt x="484" y="1223"/>
              </a:lnTo>
              <a:lnTo>
                <a:pt x="529" y="1250"/>
              </a:lnTo>
              <a:lnTo>
                <a:pt x="574" y="1277"/>
              </a:lnTo>
              <a:lnTo>
                <a:pt x="620" y="1306"/>
              </a:lnTo>
              <a:lnTo>
                <a:pt x="666" y="1335"/>
              </a:lnTo>
              <a:lnTo>
                <a:pt x="713" y="1365"/>
              </a:lnTo>
              <a:lnTo>
                <a:pt x="759" y="1395"/>
              </a:lnTo>
              <a:lnTo>
                <a:pt x="805" y="1425"/>
              </a:lnTo>
              <a:lnTo>
                <a:pt x="852" y="1456"/>
              </a:lnTo>
              <a:lnTo>
                <a:pt x="897" y="1485"/>
              </a:lnTo>
              <a:lnTo>
                <a:pt x="941" y="1515"/>
              </a:lnTo>
              <a:lnTo>
                <a:pt x="984" y="1544"/>
              </a:lnTo>
              <a:lnTo>
                <a:pt x="1025" y="1573"/>
              </a:lnTo>
              <a:lnTo>
                <a:pt x="1065" y="1600"/>
              </a:lnTo>
              <a:lnTo>
                <a:pt x="1102" y="1626"/>
              </a:lnTo>
              <a:lnTo>
                <a:pt x="1138" y="1650"/>
              </a:lnTo>
              <a:lnTo>
                <a:pt x="1172" y="1673"/>
              </a:lnTo>
              <a:lnTo>
                <a:pt x="1202" y="1695"/>
              </a:lnTo>
              <a:lnTo>
                <a:pt x="1230" y="1715"/>
              </a:lnTo>
              <a:lnTo>
                <a:pt x="1255" y="1732"/>
              </a:lnTo>
              <a:lnTo>
                <a:pt x="1277" y="1747"/>
              </a:lnTo>
              <a:lnTo>
                <a:pt x="1296" y="1760"/>
              </a:lnTo>
              <a:lnTo>
                <a:pt x="1310" y="1771"/>
              </a:lnTo>
              <a:lnTo>
                <a:pt x="1321" y="1778"/>
              </a:lnTo>
              <a:lnTo>
                <a:pt x="1328" y="1783"/>
              </a:lnTo>
              <a:lnTo>
                <a:pt x="1330" y="1785"/>
              </a:lnTo>
              <a:lnTo>
                <a:pt x="1373" y="1694"/>
              </a:lnTo>
              <a:lnTo>
                <a:pt x="1417" y="1605"/>
              </a:lnTo>
              <a:lnTo>
                <a:pt x="1463" y="1516"/>
              </a:lnTo>
              <a:lnTo>
                <a:pt x="1509" y="1431"/>
              </a:lnTo>
              <a:lnTo>
                <a:pt x="1557" y="1347"/>
              </a:lnTo>
              <a:lnTo>
                <a:pt x="1605" y="1265"/>
              </a:lnTo>
              <a:lnTo>
                <a:pt x="1653" y="1185"/>
              </a:lnTo>
              <a:lnTo>
                <a:pt x="1703" y="1107"/>
              </a:lnTo>
              <a:lnTo>
                <a:pt x="1752" y="1029"/>
              </a:lnTo>
              <a:lnTo>
                <a:pt x="1801" y="956"/>
              </a:lnTo>
              <a:lnTo>
                <a:pt x="1850" y="884"/>
              </a:lnTo>
              <a:lnTo>
                <a:pt x="1899" y="814"/>
              </a:lnTo>
              <a:lnTo>
                <a:pt x="1948" y="747"/>
              </a:lnTo>
              <a:lnTo>
                <a:pt x="1996" y="683"/>
              </a:lnTo>
              <a:lnTo>
                <a:pt x="2043" y="620"/>
              </a:lnTo>
              <a:lnTo>
                <a:pt x="2089" y="560"/>
              </a:lnTo>
              <a:lnTo>
                <a:pt x="2134" y="503"/>
              </a:lnTo>
              <a:lnTo>
                <a:pt x="2178" y="448"/>
              </a:lnTo>
              <a:lnTo>
                <a:pt x="2221" y="397"/>
              </a:lnTo>
              <a:lnTo>
                <a:pt x="2262" y="348"/>
              </a:lnTo>
              <a:lnTo>
                <a:pt x="2301" y="302"/>
              </a:lnTo>
              <a:lnTo>
                <a:pt x="2338" y="259"/>
              </a:lnTo>
              <a:lnTo>
                <a:pt x="2373" y="219"/>
              </a:lnTo>
              <a:lnTo>
                <a:pt x="2406" y="183"/>
              </a:lnTo>
              <a:lnTo>
                <a:pt x="2437" y="149"/>
              </a:lnTo>
              <a:lnTo>
                <a:pt x="2465" y="119"/>
              </a:lnTo>
              <a:lnTo>
                <a:pt x="2492" y="92"/>
              </a:lnTo>
              <a:lnTo>
                <a:pt x="2514" y="67"/>
              </a:lnTo>
              <a:lnTo>
                <a:pt x="2534" y="47"/>
              </a:lnTo>
              <a:lnTo>
                <a:pt x="2550" y="30"/>
              </a:lnTo>
              <a:lnTo>
                <a:pt x="2563" y="17"/>
              </a:lnTo>
              <a:lnTo>
                <a:pt x="2573" y="7"/>
              </a:lnTo>
              <a:lnTo>
                <a:pt x="2578" y="2"/>
              </a:lnTo>
              <a:lnTo>
                <a:pt x="2580" y="0"/>
              </a:lnTo>
              <a:close/>
            </a:path>
          </a:pathLst>
        </a:custGeom>
        <a:solidFill>
          <a:schemeClr val="bg1"/>
        </a:solidFill>
        <a:ln w="0">
          <a:noFill/>
          <a:prstDash val="solid"/>
          <a:round/>
          <a:headEnd/>
          <a:tailEnd/>
        </a:ln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sitaiwan-my.sharepoint.com/personal/jackychen_icp-si_com/Documents/ICPSI&#36001;&#21209;&#33287;&#25505;&#36092;/BOM%20&#21407;&#22987;&#36039;&#26009;/C21010-&#21488;&#38651;&#20844;&#21496;-&#35920;&#33775;&#12289;&#20161;&#24859;RTU&#27760;&#25563;&#26696;/BOM%20List_V2-C21010-&#21488;&#38651;&#20844;&#21496;-&#35920;&#33775;&#12289;&#20161;&#24859;RTU&#27760;&#25563;&#2669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cpsitaiwan-my.sharepoint.com/personal/jackychen_icp-si_com/Documents/ICPSI&#36001;&#21209;&#33287;&#25505;&#36092;/BOM%20&#21407;&#22987;&#36039;&#26009;/C21026-&#21488;&#38651;&#20844;&#21496;-&#28207;&#24037;DS%20IEC61850&#27760;&#25563;&#26696;/&#21488;&#38651;&#21488;&#20013;&#20379;&#38651;&#34389;-&#28207;&#24037;DS&#23566;&#20837;IEC%2061850&#24314;&#32622;&#25505;&#36092;&#26696;_BOM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參數設定"/>
      <sheetName val="03 成本統計表"/>
      <sheetName val="BOM"/>
      <sheetName val="報價分析"/>
      <sheetName val="標案分析"/>
      <sheetName val="競爭分析"/>
      <sheetName val="計算"/>
      <sheetName val="BOM List_V2-C21010-台電公司-豐華、仁愛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參數設定"/>
      <sheetName val="03 成本統計表"/>
      <sheetName val="BOM"/>
      <sheetName val="標案分析(未完成)"/>
      <sheetName val="競爭分析"/>
      <sheetName val="標價清單"/>
      <sheetName val="計算"/>
      <sheetName val="台電台中供電處-港工DS導入IEC 61850建置採購案_B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表格_基本資訊" displayName="表格_基本資訊" ref="A2:B11" totalsRowShown="0" headerRowDxfId="115" dataDxfId="114">
  <autoFilter ref="A2:B11" xr:uid="{00000000-0009-0000-0100-000005000000}"/>
  <tableColumns count="2">
    <tableColumn id="1" xr3:uid="{00000000-0010-0000-0100-000001000000}" name="項目" dataDxfId="113"/>
    <tableColumn id="2" xr3:uid="{00000000-0010-0000-0100-000002000000}" name="數值" dataDxfId="112"/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9DB998F-91F6-E840-9124-67791431472E}" name="表格9" displayName="表格9" ref="A17:C24" totalsRowShown="0" headerRowDxfId="111">
  <autoFilter ref="A17:C24" xr:uid="{79DB998F-91F6-E840-9124-67791431472E}"/>
  <tableColumns count="3">
    <tableColumn id="1" xr3:uid="{7D0DC470-1C02-E143-95C1-7C4E4F43566F}" name="版本" dataDxfId="110"/>
    <tableColumn id="2" xr3:uid="{2153ACEB-DF44-164A-8C43-8B1F524BBAEE}" name="日期" dataDxfId="109"/>
    <tableColumn id="3" xr3:uid="{3049C0A4-7C34-8949-8A84-7057800BB63B}" name="說明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表格_群組分類價格" displayName="表格_群組分類價格" ref="A19:G25" totalsRowCount="1" headerRowDxfId="108" dataDxfId="107" totalsRowDxfId="106">
  <autoFilter ref="A19:G24" xr:uid="{00000000-0009-0000-0100-000006000000}"/>
  <tableColumns count="7">
    <tableColumn id="1" xr3:uid="{00000000-0010-0000-0500-000001000000}" name="項次" totalsRowLabel="合計(未稅)" dataDxfId="105" totalsRowDxfId="104"/>
    <tableColumn id="2" xr3:uid="{00000000-0010-0000-0500-000002000000}" name="群組" dataDxfId="103" totalsRowDxfId="102"/>
    <tableColumn id="4" xr3:uid="{00000000-0010-0000-0500-000004000000}" name="數量" dataDxfId="101" totalsRowDxfId="100"/>
    <tableColumn id="5" xr3:uid="{00000000-0010-0000-0500-000005000000}" name="單位" dataDxfId="99" totalsRowDxfId="98"/>
    <tableColumn id="6" xr3:uid="{00000000-0010-0000-0500-000006000000}" name="單價" dataDxfId="97" totalsRowDxfId="96">
      <calculatedColumnFormula array="1">SUMPRODUCT((表格_BOM[Group]=表格_群組分類價格[[#This Row],[群組]])*表格_BOM[Total Cost])</calculatedColumnFormula>
    </tableColumn>
    <tableColumn id="7" xr3:uid="{00000000-0010-0000-0500-000007000000}" name="專案成本" totalsRowFunction="sum" dataDxfId="95" totalsRowDxfId="94">
      <calculatedColumnFormula>表格_群組分類價格[[#This Row],[數量]]*表格_群組分類價格[[#This Row],[單價]]</calculatedColumnFormula>
    </tableColumn>
    <tableColumn id="10" xr3:uid="{00000000-0010-0000-0500-00000A000000}" name="BOM 占比" totalsRowFunction="sum" dataDxfId="93" totalsRowDxfId="92">
      <calculatedColumnFormula>表格_群組分類價格[[#This Row],[專案成本]]/表格_群組分類價格[[#Totals],[專案成本]]</calculatedColumnFormula>
    </tableColumn>
  </tableColumns>
  <tableStyleInfo name="TableStyleMedium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表格_科目分類價格" displayName="表格_科目分類價格" ref="A2:G16" totalsRowCount="1" headerRowDxfId="91" dataDxfId="90" totalsRowDxfId="89">
  <autoFilter ref="A2:G15" xr:uid="{00000000-0009-0000-0100-000003000000}"/>
  <tableColumns count="7">
    <tableColumn id="1" xr3:uid="{00000000-0010-0000-0400-000001000000}" name="項次" totalsRowLabel="合計(未稅)" dataDxfId="88" totalsRowDxfId="87"/>
    <tableColumn id="2" xr3:uid="{00000000-0010-0000-0400-000002000000}" name="分類" dataDxfId="86" totalsRowDxfId="85"/>
    <tableColumn id="4" xr3:uid="{00000000-0010-0000-0400-000004000000}" name="數量" dataDxfId="84" totalsRowDxfId="83"/>
    <tableColumn id="5" xr3:uid="{00000000-0010-0000-0400-000005000000}" name="單位" dataDxfId="82" totalsRowDxfId="81"/>
    <tableColumn id="6" xr3:uid="{00000000-0010-0000-0400-000006000000}" name="單價" dataDxfId="80" totalsRowDxfId="79">
      <calculatedColumnFormula array="1">SUMPRODUCT((表格_BOM[Classification]=表格_科目分類價格[[#This Row],[分類]])*表格_BOM[Total Cost]*(表格_BOM[本案_追加]="本案"))</calculatedColumnFormula>
    </tableColumn>
    <tableColumn id="7" xr3:uid="{00000000-0010-0000-0400-000007000000}" name="專案成本" totalsRowFunction="sum" dataDxfId="78" totalsRowDxfId="77">
      <calculatedColumnFormula>表格_科目分類價格[[#This Row],[數量]]*表格_科目分類價格[[#This Row],[單價]]</calculatedColumnFormula>
    </tableColumn>
    <tableColumn id="10" xr3:uid="{00000000-0010-0000-0400-00000A000000}" name="BOM 占比" totalsRowFunction="sum" dataDxfId="76" totalsRowDxfId="75">
      <calculatedColumnFormula>表格_科目分類價格[[#This Row],[專案成本]]/表格_科目分類價格[[#Totals],[專案成本]]</calculatedColumnFormula>
    </tableColumn>
  </tableColumns>
  <tableStyleInfo name="TableStyleMedium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421C99-361A-4E97-9854-EBDD4C8B71BD}" name="表格_廠商分類" displayName="表格_廠商分類" ref="A28:G55" totalsRowCount="1" headerRowDxfId="74" dataDxfId="73" totalsRowDxfId="72">
  <autoFilter ref="A28:G54" xr:uid="{45421C99-361A-4E97-9854-EBDD4C8B71BD}"/>
  <sortState xmlns:xlrd2="http://schemas.microsoft.com/office/spreadsheetml/2017/richdata2" ref="A29:G54">
    <sortCondition ref="A28:A54"/>
  </sortState>
  <tableColumns count="7">
    <tableColumn id="1" xr3:uid="{39281EAE-06E4-4EAA-9D83-E2CA6BF231CD}" name="項次" totalsRowLabel="合計(未稅)" dataDxfId="71" totalsRowDxfId="70"/>
    <tableColumn id="2" xr3:uid="{4A1351E6-5363-4B08-8F1E-58544220A8F3}" name="公司名" dataDxfId="69" totalsRowDxfId="68"/>
    <tableColumn id="4" xr3:uid="{A18824B5-B476-4E1F-BA39-5B72E8466583}" name="數量" dataDxfId="67" totalsRowDxfId="66"/>
    <tableColumn id="5" xr3:uid="{D0FEDF90-0B55-4E62-94B7-52CF152B8A3D}" name="單位" dataDxfId="65" totalsRowDxfId="64"/>
    <tableColumn id="6" xr3:uid="{4A7D142F-9366-4CAF-AC81-DBA3101E9E7E}" name="單價" dataDxfId="63" totalsRowDxfId="62">
      <calculatedColumnFormula array="1">SUMPRODUCT((表格_BOM[Manufacture]=表格_廠商分類[[#This Row],[公司名]])*表格_BOM[Total Cost])</calculatedColumnFormula>
    </tableColumn>
    <tableColumn id="7" xr3:uid="{D76E5FEE-7156-44AB-B9FD-62A90912893C}" name="專案成本" totalsRowFunction="sum" dataDxfId="61" totalsRowDxfId="60">
      <calculatedColumnFormula>表格_廠商分類[[#This Row],[數量]]*表格_廠商分類[[#This Row],[單價]]</calculatedColumnFormula>
    </tableColumn>
    <tableColumn id="10" xr3:uid="{4437398D-74DC-4464-8419-D87B1C19CFF3}" name="BOM 占比" totalsRowFunction="sum" dataDxfId="59" totalsRowDxfId="58">
      <calculatedColumnFormula>表格_廠商分類[[#This Row],[專案成本]]/表格_廠商分類[[#Totals],[專案成本]]</calculatedColumnFormula>
    </tableColumn>
  </tableColumns>
  <tableStyleInfo name="TableStyleMedium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E1E8C5C-364A-9749-A00D-C9444A6C5180}" name="表格_本案及追加分析" displayName="表格_本案及追加分析" ref="A58:G62" totalsRowCount="1" headerRowDxfId="57" dataDxfId="56" totalsRowDxfId="55">
  <autoFilter ref="A58:G61" xr:uid="{6E1E8C5C-364A-9749-A00D-C9444A6C5180}"/>
  <tableColumns count="7">
    <tableColumn id="1" xr3:uid="{D358F854-E123-0642-8E79-87B7599D6608}" name="項次" totalsRowLabel="合計(未稅)" dataDxfId="54" totalsRowDxfId="53"/>
    <tableColumn id="2" xr3:uid="{C98A3140-681F-6D4E-88F8-C6198DF2A5D3}" name="分類" dataDxfId="52" totalsRowDxfId="51"/>
    <tableColumn id="4" xr3:uid="{4FB4DD1E-219F-5747-8990-B61DF4B8EBF7}" name="數量" dataDxfId="50" totalsRowDxfId="49"/>
    <tableColumn id="5" xr3:uid="{6CCD4715-06FB-884C-9CB5-B23E84689DEF}" name="單位" dataDxfId="48" totalsRowDxfId="47"/>
    <tableColumn id="6" xr3:uid="{E38D90D0-F1F9-514A-A2E2-1C5F58F2272E}" name="單價" dataDxfId="46" totalsRowDxfId="45">
      <calculatedColumnFormula array="1">SUMPRODUCT((表格_BOM[本案_追加]=表格_本案及追加分析[[#This Row],[分類]])*表格_BOM[Total Cost])</calculatedColumnFormula>
    </tableColumn>
    <tableColumn id="7" xr3:uid="{87C9D79C-BAB9-0C4D-838F-9595F7EAFDD7}" name="專案成本" totalsRowFunction="sum" dataDxfId="44" totalsRowDxfId="43">
      <calculatedColumnFormula>表格_本案及追加分析[[#This Row],[數量]]*表格_本案及追加分析[[#This Row],[單價]]</calculatedColumnFormula>
    </tableColumn>
    <tableColumn id="10" xr3:uid="{46D8FF05-DA2E-EE43-B982-2127D5506D57}" name="BOM 占比" totalsRowFunction="sum" dataDxfId="42" totalsRowDxfId="41">
      <calculatedColumnFormula>表格_本案及追加分析[[#This Row],[專案成本]]/表格_本案及追加分析[[#Totals],[專案成本]]</calculatedColumnFormula>
    </tableColumn>
  </tableColumns>
  <tableStyleInfo name="TableStyleMedium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表格_BOM" displayName="表格_BOM" ref="B4:X44" totalsRowCount="1" headerRowDxfId="40" dataDxfId="39" totalsRowDxfId="38" headerRowCellStyle="White Background">
  <autoFilter ref="B4:X43" xr:uid="{00000000-0009-0000-0100-000004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</autoFilter>
  <tableColumns count="23">
    <tableColumn id="1" xr3:uid="{00000000-0010-0000-0300-000001000000}" name=" " dataDxfId="37" dataCellStyle="Checked">
      <calculatedColumnFormula>"c"</calculatedColumnFormula>
    </tableColumn>
    <tableColumn id="4" xr3:uid="{00000000-0010-0000-0300-000004000000}" name="NO" dataDxfId="36" dataCellStyle="Item"/>
    <tableColumn id="8" xr3:uid="{00000000-0010-0000-0300-000008000000}" name="Classification" dataDxfId="35" dataCellStyle="Item"/>
    <tableColumn id="11" xr3:uid="{00000000-0010-0000-0300-00000B000000}" name="Group" dataDxfId="34" dataCellStyle="Item"/>
    <tableColumn id="20" xr3:uid="{871D0C25-2C29-4040-A496-5830A4F0ADED}" name="本案_追加" dataDxfId="33" dataCellStyle="Item"/>
    <tableColumn id="2" xr3:uid="{00000000-0010-0000-0300-000002000000}" name="Type" dataDxfId="32" dataCellStyle="Item"/>
    <tableColumn id="10" xr3:uid="{00000000-0010-0000-0300-00000A000000}" name="Functional Description" dataDxfId="31" totalsRowDxfId="30" dataCellStyle="Item"/>
    <tableColumn id="12" xr3:uid="{00000000-0010-0000-0300-00000C000000}" name="Manufacture" dataDxfId="29" dataCellStyle="Item"/>
    <tableColumn id="9" xr3:uid="{00000000-0010-0000-0300-000009000000}" name="Qty" dataDxfId="28" dataCellStyle="White Background"/>
    <tableColumn id="3" xr3:uid="{00000000-0010-0000-0300-000003000000}" name="Unit" dataDxfId="27" dataCellStyle="White Background"/>
    <tableColumn id="5" xr3:uid="{00000000-0010-0000-0300-000005000000}" name="Cost(未稅)" totalsRowLabel="未稅" dataDxfId="26" totalsRowDxfId="25" dataCellStyle="Currency Custom"/>
    <tableColumn id="6" xr3:uid="{00000000-0010-0000-0300-000006000000}" name="Total Cost" totalsRowFunction="sum" dataDxfId="24" totalsRowDxfId="23" dataCellStyle="Currency Custom">
      <calculatedColumnFormula>表格_BOM[[#This Row],[Qty]]*表格_BOM[[#This Row],[Cost(未稅)]]</calculatedColumnFormula>
    </tableColumn>
    <tableColumn id="13" xr3:uid="{E1101198-2714-4E6F-BB91-E698EC00E267}" name="第一次詢價_x000a_數量" dataDxfId="22" dataCellStyle="Currency Custom"/>
    <tableColumn id="23" xr3:uid="{6BF6FCBD-4259-4F11-9C66-B98F84129E3F}" name="第一次詢價_x000a_單價(未稅)" dataDxfId="21" dataCellStyle="Currency Custom"/>
    <tableColumn id="24" xr3:uid="{4285D36F-33DB-43E0-90E4-7474C2C782DB}" name="第一次詢價_x000a_總價(未稅)" dataDxfId="20" dataCellStyle="Currency Custom"/>
    <tableColumn id="18" xr3:uid="{BD84A14B-1BC3-4AA1-B5DF-84D1A98C11FC}" name="下單價 (未稅)" dataDxfId="19" dataCellStyle="貨幣">
      <calculatedColumnFormula>表格_BOM[[#This Row],[下單價 (含稅)]]/1.05</calculatedColumnFormula>
    </tableColumn>
    <tableColumn id="26" xr3:uid="{F749BD0D-3B3E-4CB3-BA77-801DDAFF0102}" name="下單價 (含稅)" dataDxfId="18" dataCellStyle="貨幣"/>
    <tableColumn id="19" xr3:uid="{3D2FE5C5-C6AF-4064-80FE-2054AF59994D}" name="交期" dataDxfId="17" dataCellStyle="Currency Custom"/>
    <tableColumn id="16" xr3:uid="{4BD24792-F12A-4699-B005-F202700EDC0B}" name="付款條件" dataDxfId="16" dataCellStyle="Currency Custom"/>
    <tableColumn id="17" xr3:uid="{5F588DE8-FB1E-4BBF-A6B3-AB5EA38F0BC2}" name="採購單編號" dataDxfId="15" dataCellStyle="Currency Custom"/>
    <tableColumn id="15" xr3:uid="{C119A2A1-0051-493A-BD82-D61176E3B3F1}" name="請款單號" dataDxfId="14" dataCellStyle="Currency Custom"/>
    <tableColumn id="14" xr3:uid="{DEA7E564-8E4A-435F-87DA-D26F84B54CCA}" name="匯款日期" dataDxfId="13" dataCellStyle="Currency Custom"/>
    <tableColumn id="7" xr3:uid="{00000000-0010-0000-0300-000007000000}" name="Note" dataDxfId="12" dataCellStyle="Indent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1A753B0-210A-B648-81BE-5F5A64EAB1F6}" name="表格_報價分析表" displayName="表格_報價分析表" ref="A2:F73" totalsRowShown="0" headerRowDxfId="11" dataDxfId="10">
  <autoFilter ref="A2:F73" xr:uid="{8519273F-A000-42E1-9135-B1D07F1C0B68}"/>
  <tableColumns count="6">
    <tableColumn id="6" xr3:uid="{68735C29-152E-0E48-A7A6-E1FDD03B98AC}" name="報價金額(未稅)" dataDxfId="9">
      <calculatedColumnFormula>表格_BOM[[#Totals],[Total Cost]]*(100%+表格_報價分析表[[#This Row],[倍率(不參考)]])</calculatedColumnFormula>
    </tableColumn>
    <tableColumn id="2" xr3:uid="{3B06813B-6001-DC42-A4C5-244135C4082A}" name="利潤" dataDxfId="8">
      <calculatedColumnFormula>表格_報價分析表[[#This Row],[報價金額(未稅)]]-表格_BOM[[#Totals],[Total Cost]]</calculatedColumnFormula>
    </tableColumn>
    <tableColumn id="3" xr3:uid="{B707164F-9B3E-4D4B-9652-FD03E1F04056}" name="利潤率" dataDxfId="7">
      <calculatedColumnFormula>表格_報價分析表[[#This Row],[利潤]]/表格_報價分析表[[#This Row],[報價金額(未稅)]]</calculatedColumnFormula>
    </tableColumn>
    <tableColumn id="4" xr3:uid="{587756BC-F8F9-0A4E-A65A-BC6F7DABCABA}" name="毛利" dataDxfId="6">
      <calculatedColumnFormula>表格_報價分析表[[#This Row],[報價金額(未稅)]]-表格_BOM[[#Totals],[Total Cost]]+'03 成本統計表'!$F$3+'03 成本統計表'!$F$14</calculatedColumnFormula>
    </tableColumn>
    <tableColumn id="5" xr3:uid="{E3167277-D24A-5340-B332-401905BAB4BA}" name="毛利率" dataDxfId="5">
      <calculatedColumnFormula>(D3)/表格_報價分析表[[#This Row],[報價金額(未稅)]]</calculatedColumnFormula>
    </tableColumn>
    <tableColumn id="7" xr3:uid="{96CA411B-6443-0348-A5C2-D66DC42BC6C5}" name="倍率(不參考)" dataDxfId="4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151">
      <a:dk1>
        <a:sysClr val="windowText" lastClr="000000"/>
      </a:dk1>
      <a:lt1>
        <a:sysClr val="window" lastClr="FFFFFF"/>
      </a:lt1>
      <a:dk2>
        <a:srgbClr val="554527"/>
      </a:dk2>
      <a:lt2>
        <a:srgbClr val="FAF8F4"/>
      </a:lt2>
      <a:accent1>
        <a:srgbClr val="F4B224"/>
      </a:accent1>
      <a:accent2>
        <a:srgbClr val="F4900B"/>
      </a:accent2>
      <a:accent3>
        <a:srgbClr val="E66B10"/>
      </a:accent3>
      <a:accent4>
        <a:srgbClr val="D64C16"/>
      </a:accent4>
      <a:accent5>
        <a:srgbClr val="4E1747"/>
      </a:accent5>
      <a:accent6>
        <a:srgbClr val="09AA97"/>
      </a:accent6>
      <a:hlink>
        <a:srgbClr val="09AA97"/>
      </a:hlink>
      <a:folHlink>
        <a:srgbClr val="4E1747"/>
      </a:folHlink>
    </a:clrScheme>
    <a:fontScheme name="151">
      <a:majorFont>
        <a:latin typeface="Franklin Gothic Medium"/>
        <a:ea typeface=""/>
        <a:cs typeface=""/>
      </a:majorFont>
      <a:minorFont>
        <a:latin typeface="Euphemi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1.xml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5" zoomScale="70" zoomScaleNormal="70" workbookViewId="0">
      <selection activeCell="G24" sqref="G24"/>
    </sheetView>
  </sheetViews>
  <sheetFormatPr defaultColWidth="9" defaultRowHeight="18"/>
  <cols>
    <col min="1" max="1" width="16.35546875" style="7" bestFit="1" customWidth="1"/>
    <col min="2" max="2" width="48.35546875" style="7" bestFit="1" customWidth="1"/>
    <col min="3" max="3" width="113.140625" style="7" customWidth="1"/>
    <col min="4" max="5" width="9" style="7"/>
    <col min="6" max="6" width="13" style="7" bestFit="1" customWidth="1"/>
    <col min="7" max="7" width="87.640625" style="7" customWidth="1"/>
    <col min="8" max="16384" width="9" style="7"/>
  </cols>
  <sheetData>
    <row r="1" spans="1:3" ht="23.25">
      <c r="A1" s="172" t="s">
        <v>0</v>
      </c>
      <c r="B1" s="172"/>
    </row>
    <row r="2" spans="1:3" ht="23.25">
      <c r="A2" s="9" t="s">
        <v>1</v>
      </c>
      <c r="B2" s="9" t="s">
        <v>2</v>
      </c>
    </row>
    <row r="3" spans="1:3">
      <c r="A3" s="13" t="s">
        <v>3</v>
      </c>
      <c r="C3" s="106" t="s">
        <v>4</v>
      </c>
    </row>
    <row r="4" spans="1:3">
      <c r="A4" s="13" t="s">
        <v>5</v>
      </c>
      <c r="C4" s="106" t="s">
        <v>4</v>
      </c>
    </row>
    <row r="5" spans="1:3">
      <c r="A5" s="13" t="s">
        <v>6</v>
      </c>
      <c r="B5" s="10">
        <v>1000000</v>
      </c>
      <c r="C5" s="106" t="s">
        <v>4</v>
      </c>
    </row>
    <row r="6" spans="1:3">
      <c r="A6" s="13" t="s">
        <v>7</v>
      </c>
      <c r="C6" s="106" t="s">
        <v>4</v>
      </c>
    </row>
    <row r="7" spans="1:3">
      <c r="A7" s="13" t="s">
        <v>8</v>
      </c>
      <c r="C7" s="106" t="s">
        <v>4</v>
      </c>
    </row>
    <row r="8" spans="1:3">
      <c r="A8" s="13" t="s">
        <v>9</v>
      </c>
      <c r="C8" s="106" t="s">
        <v>4</v>
      </c>
    </row>
    <row r="9" spans="1:3">
      <c r="A9" s="13" t="s">
        <v>10</v>
      </c>
      <c r="B9" s="14"/>
      <c r="C9" s="106" t="s">
        <v>4</v>
      </c>
    </row>
    <row r="10" spans="1:3">
      <c r="A10" s="13" t="s">
        <v>11</v>
      </c>
      <c r="C10" s="106" t="s">
        <v>4</v>
      </c>
    </row>
    <row r="11" spans="1:3">
      <c r="A11" s="13" t="s">
        <v>12</v>
      </c>
      <c r="B11" s="11" t="s">
        <v>13</v>
      </c>
    </row>
    <row r="12" spans="1:3">
      <c r="B12" s="12"/>
    </row>
    <row r="13" spans="1:3">
      <c r="B13" s="11"/>
    </row>
    <row r="14" spans="1:3">
      <c r="B14" s="11"/>
    </row>
    <row r="15" spans="1:3">
      <c r="B15" s="14"/>
    </row>
    <row r="16" spans="1:3" ht="23.25">
      <c r="A16" s="173" t="s">
        <v>14</v>
      </c>
      <c r="B16" s="173"/>
      <c r="C16" s="173"/>
    </row>
    <row r="17" spans="1:3">
      <c r="A17" s="8" t="s">
        <v>15</v>
      </c>
      <c r="B17" s="8" t="s">
        <v>16</v>
      </c>
      <c r="C17" s="8" t="s">
        <v>17</v>
      </c>
    </row>
    <row r="18" spans="1:3">
      <c r="A18" s="79" t="s">
        <v>18</v>
      </c>
      <c r="B18" s="79" t="s">
        <v>19</v>
      </c>
      <c r="C18" s="7" t="s">
        <v>20</v>
      </c>
    </row>
    <row r="19" spans="1:3">
      <c r="A19" s="79" t="s">
        <v>21</v>
      </c>
      <c r="B19" s="79" t="s">
        <v>22</v>
      </c>
      <c r="C19" s="7" t="s">
        <v>23</v>
      </c>
    </row>
    <row r="20" spans="1:3" ht="54">
      <c r="A20" s="79" t="s">
        <v>24</v>
      </c>
      <c r="B20" s="79" t="s">
        <v>25</v>
      </c>
      <c r="C20" s="78" t="s">
        <v>26</v>
      </c>
    </row>
    <row r="21" spans="1:3" ht="90">
      <c r="A21" s="79" t="s">
        <v>27</v>
      </c>
      <c r="B21" s="79" t="s">
        <v>28</v>
      </c>
      <c r="C21" s="78" t="s">
        <v>29</v>
      </c>
    </row>
    <row r="22" spans="1:3" ht="36">
      <c r="A22" s="79" t="s">
        <v>30</v>
      </c>
      <c r="B22" s="79" t="s">
        <v>31</v>
      </c>
      <c r="C22" s="78" t="s">
        <v>32</v>
      </c>
    </row>
    <row r="23" spans="1:3" ht="126">
      <c r="A23" s="79" t="s">
        <v>33</v>
      </c>
      <c r="B23" s="79" t="s">
        <v>34</v>
      </c>
      <c r="C23" s="78" t="s">
        <v>35</v>
      </c>
    </row>
    <row r="24" spans="1:3" ht="126">
      <c r="A24" s="79" t="s">
        <v>36</v>
      </c>
      <c r="B24" s="79" t="s">
        <v>37</v>
      </c>
      <c r="C24" s="78" t="s">
        <v>38</v>
      </c>
    </row>
  </sheetData>
  <mergeCells count="2">
    <mergeCell ref="A1:B1"/>
    <mergeCell ref="A16:C16"/>
  </mergeCells>
  <phoneticPr fontId="8" type="noConversion"/>
  <dataValidations count="1">
    <dataValidation type="list" allowBlank="1" showInputMessage="1" showErrorMessage="1" sqref="B11" xr:uid="{00000000-0002-0000-0000-000001000000}">
      <formula1>標籤_聯絡人姓名</formula1>
    </dataValidation>
  </dataValidations>
  <pageMargins left="0.7" right="0.7" top="0.75" bottom="0.75" header="0.3" footer="0.3"/>
  <pageSetup paperSize="9" orientation="portrait" horizontalDpi="1200" verticalDpi="1200"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I62"/>
  <sheetViews>
    <sheetView topLeftCell="A50" zoomScale="90" zoomScaleNormal="90" workbookViewId="0">
      <selection activeCell="M60" sqref="M60"/>
    </sheetView>
  </sheetViews>
  <sheetFormatPr defaultColWidth="9" defaultRowHeight="18"/>
  <cols>
    <col min="1" max="1" width="13" style="142" bestFit="1" customWidth="1"/>
    <col min="2" max="2" width="24.140625" style="142" bestFit="1" customWidth="1"/>
    <col min="3" max="4" width="12" style="142" bestFit="1" customWidth="1"/>
    <col min="5" max="5" width="20.640625" style="142" customWidth="1"/>
    <col min="6" max="6" width="19.140625" style="142" bestFit="1" customWidth="1"/>
    <col min="7" max="7" width="19.140625" style="145" bestFit="1" customWidth="1"/>
    <col min="8" max="8" width="19.140625" style="142" bestFit="1" customWidth="1"/>
    <col min="9" max="9" width="27.35546875" style="142" customWidth="1"/>
    <col min="10" max="16384" width="9" style="142"/>
  </cols>
  <sheetData>
    <row r="1" spans="1:9" ht="45.75">
      <c r="A1" s="174" t="s">
        <v>39</v>
      </c>
      <c r="B1" s="174"/>
      <c r="C1" s="174"/>
      <c r="D1" s="174"/>
      <c r="E1" s="174"/>
      <c r="F1" s="174"/>
      <c r="G1" s="174"/>
    </row>
    <row r="2" spans="1:9" ht="23.25">
      <c r="A2" s="143" t="s">
        <v>40</v>
      </c>
      <c r="B2" s="143" t="s">
        <v>41</v>
      </c>
      <c r="C2" s="143" t="s">
        <v>42</v>
      </c>
      <c r="D2" s="143" t="s">
        <v>43</v>
      </c>
      <c r="E2" s="143" t="s">
        <v>44</v>
      </c>
      <c r="F2" s="143" t="s">
        <v>45</v>
      </c>
      <c r="G2" s="144" t="s">
        <v>46</v>
      </c>
    </row>
    <row r="3" spans="1:9">
      <c r="A3" s="145">
        <v>1</v>
      </c>
      <c r="B3" s="146" t="s">
        <v>47</v>
      </c>
      <c r="C3" s="145">
        <v>1</v>
      </c>
      <c r="D3" s="145" t="s">
        <v>48</v>
      </c>
      <c r="E3" s="147" cm="1">
        <f t="array" ref="E3">SUMPRODUCT((表格_BOM[Classification]=表格_科目分類價格[[#This Row],[分類]])*表格_BOM[Total Cost]*(表格_BOM[本案_追加]="本案"))</f>
        <v>2000</v>
      </c>
      <c r="F3" s="147">
        <f>表格_科目分類價格[[#This Row],[數量]]*表格_科目分類價格[[#This Row],[單價]]</f>
        <v>2000</v>
      </c>
      <c r="G3" s="148">
        <f>表格_科目分類價格[[#This Row],[專案成本]]/表格_科目分類價格[[#Totals],[專案成本]]</f>
        <v>0.58934464875058934</v>
      </c>
      <c r="I3" s="149"/>
    </row>
    <row r="4" spans="1:9">
      <c r="A4" s="145">
        <v>2</v>
      </c>
      <c r="B4" s="146" t="s">
        <v>49</v>
      </c>
      <c r="C4" s="145">
        <v>1</v>
      </c>
      <c r="D4" s="145" t="s">
        <v>48</v>
      </c>
      <c r="E4" s="147" cm="1">
        <f t="array" ref="E4">SUMPRODUCT((表格_BOM[Classification]=表格_科目分類價格[[#This Row],[分類]])*表格_BOM[Total Cost]*(表格_BOM[本案_追加]="本案"))</f>
        <v>0</v>
      </c>
      <c r="F4" s="147">
        <f>表格_科目分類價格[[#This Row],[數量]]*表格_科目分類價格[[#This Row],[單價]]</f>
        <v>0</v>
      </c>
      <c r="G4" s="148">
        <f>表格_科目分類價格[[#This Row],[專案成本]]/表格_科目分類價格[[#Totals],[專案成本]]</f>
        <v>0</v>
      </c>
    </row>
    <row r="5" spans="1:9">
      <c r="A5" s="145">
        <v>3</v>
      </c>
      <c r="B5" s="146" t="s">
        <v>50</v>
      </c>
      <c r="C5" s="145">
        <v>1</v>
      </c>
      <c r="D5" s="145" t="s">
        <v>48</v>
      </c>
      <c r="E5" s="147" cm="1">
        <f t="array" ref="E5">SUMPRODUCT((表格_BOM[Classification]=表格_科目分類價格[[#This Row],[分類]])*表格_BOM[Total Cost]*(表格_BOM[本案_追加]="本案"))</f>
        <v>0</v>
      </c>
      <c r="F5" s="147">
        <f>表格_科目分類價格[[#This Row],[數量]]*表格_科目分類價格[[#This Row],[單價]]</f>
        <v>0</v>
      </c>
      <c r="G5" s="148">
        <f>表格_科目分類價格[[#This Row],[專案成本]]/表格_科目分類價格[[#Totals],[專案成本]]</f>
        <v>0</v>
      </c>
    </row>
    <row r="6" spans="1:9">
      <c r="A6" s="145">
        <v>4</v>
      </c>
      <c r="B6" s="145" t="s">
        <v>51</v>
      </c>
      <c r="C6" s="145">
        <v>1</v>
      </c>
      <c r="D6" s="145" t="s">
        <v>48</v>
      </c>
      <c r="E6" s="147" cm="1">
        <f t="array" ref="E6">SUMPRODUCT((表格_BOM[Classification]=表格_科目分類價格[[#This Row],[分類]])*表格_BOM[Total Cost]*(表格_BOM[本案_追加]="本案"))</f>
        <v>0</v>
      </c>
      <c r="F6" s="147">
        <f>表格_科目分類價格[[#This Row],[數量]]*表格_科目分類價格[[#This Row],[單價]]</f>
        <v>0</v>
      </c>
      <c r="G6" s="148">
        <f>表格_科目分類價格[[#This Row],[專案成本]]/表格_科目分類價格[[#Totals],[專案成本]]</f>
        <v>0</v>
      </c>
    </row>
    <row r="7" spans="1:9">
      <c r="A7" s="145">
        <v>5</v>
      </c>
      <c r="B7" s="146" t="s">
        <v>52</v>
      </c>
      <c r="C7" s="145">
        <v>1</v>
      </c>
      <c r="D7" s="145" t="s">
        <v>48</v>
      </c>
      <c r="E7" s="147" cm="1">
        <f t="array" ref="E7">SUMPRODUCT((表格_BOM[Classification]=表格_科目分類價格[[#This Row],[分類]])*表格_BOM[Total Cost]*(表格_BOM[本案_追加]="本案"))</f>
        <v>0</v>
      </c>
      <c r="F7" s="147">
        <f>表格_科目分類價格[[#This Row],[數量]]*表格_科目分類價格[[#This Row],[單價]]</f>
        <v>0</v>
      </c>
      <c r="G7" s="148">
        <f>表格_科目分類價格[[#This Row],[專案成本]]/表格_科目分類價格[[#Totals],[專案成本]]</f>
        <v>0</v>
      </c>
    </row>
    <row r="8" spans="1:9">
      <c r="A8" s="145">
        <v>6</v>
      </c>
      <c r="B8" s="146" t="s">
        <v>53</v>
      </c>
      <c r="C8" s="145">
        <v>1</v>
      </c>
      <c r="D8" s="145" t="s">
        <v>48</v>
      </c>
      <c r="E8" s="147" cm="1">
        <f t="array" ref="E8">SUMPRODUCT((表格_BOM[Classification]=表格_科目分類價格[[#This Row],[分類]])*表格_BOM[Total Cost]*(表格_BOM[本案_追加]="本案"))</f>
        <v>0</v>
      </c>
      <c r="F8" s="147">
        <f>表格_科目分類價格[[#This Row],[數量]]*表格_科目分類價格[[#This Row],[單價]]</f>
        <v>0</v>
      </c>
      <c r="G8" s="148">
        <f>表格_科目分類價格[[#This Row],[專案成本]]/表格_科目分類價格[[#Totals],[專案成本]]</f>
        <v>0</v>
      </c>
    </row>
    <row r="9" spans="1:9">
      <c r="A9" s="145">
        <v>7</v>
      </c>
      <c r="B9" s="146" t="s">
        <v>54</v>
      </c>
      <c r="C9" s="145">
        <v>1</v>
      </c>
      <c r="D9" s="145" t="s">
        <v>48</v>
      </c>
      <c r="E9" s="147" cm="1">
        <f t="array" ref="E9">SUMPRODUCT((表格_BOM[Classification]=表格_科目分類價格[[#This Row],[分類]])*表格_BOM[Total Cost]*(表格_BOM[本案_追加]="本案"))</f>
        <v>1000</v>
      </c>
      <c r="F9" s="147">
        <f>表格_科目分類價格[[#This Row],[數量]]*表格_科目分類價格[[#This Row],[單價]]</f>
        <v>1000</v>
      </c>
      <c r="G9" s="148">
        <f>表格_科目分類價格[[#This Row],[專案成本]]/表格_科目分類價格[[#Totals],[專案成本]]</f>
        <v>0.29467232437529467</v>
      </c>
    </row>
    <row r="10" spans="1:9" s="150" customFormat="1">
      <c r="A10" s="145">
        <v>8</v>
      </c>
      <c r="B10" s="146" t="s">
        <v>55</v>
      </c>
      <c r="C10" s="145">
        <v>1</v>
      </c>
      <c r="D10" s="145" t="s">
        <v>48</v>
      </c>
      <c r="E10" s="147" cm="1">
        <f t="array" ref="E10">SUMPRODUCT((表格_BOM[Classification]=表格_科目分類價格[[#This Row],[分類]])*表格_BOM[Total Cost]*(表格_BOM[本案_追加]="本案"))</f>
        <v>0</v>
      </c>
      <c r="F10" s="147">
        <f>表格_科目分類價格[[#This Row],[數量]]*表格_科目分類價格[[#This Row],[單價]]</f>
        <v>0</v>
      </c>
      <c r="G10" s="148">
        <f>表格_科目分類價格[[#This Row],[專案成本]]/表格_科目分類價格[[#Totals],[專案成本]]</f>
        <v>0</v>
      </c>
    </row>
    <row r="11" spans="1:9" s="150" customFormat="1">
      <c r="A11" s="145">
        <v>9</v>
      </c>
      <c r="B11" s="146" t="s">
        <v>56</v>
      </c>
      <c r="C11" s="145">
        <v>1</v>
      </c>
      <c r="D11" s="145" t="s">
        <v>48</v>
      </c>
      <c r="E11" s="147" cm="1">
        <f t="array" ref="E11">SUMPRODUCT((表格_BOM[Classification]=表格_科目分類價格[[#This Row],[分類]])*表格_BOM[Total Cost]*(表格_BOM[本案_追加]="本案"))</f>
        <v>0</v>
      </c>
      <c r="F11" s="147">
        <f>表格_科目分類價格[[#This Row],[數量]]*表格_科目分類價格[[#This Row],[單價]]</f>
        <v>0</v>
      </c>
      <c r="G11" s="148">
        <f>表格_科目分類價格[[#This Row],[專案成本]]/表格_科目分類價格[[#Totals],[專案成本]]</f>
        <v>0</v>
      </c>
    </row>
    <row r="12" spans="1:9" s="150" customFormat="1">
      <c r="A12" s="145">
        <v>10</v>
      </c>
      <c r="B12" s="145" t="s">
        <v>57</v>
      </c>
      <c r="C12" s="145">
        <v>1</v>
      </c>
      <c r="D12" s="145" t="s">
        <v>48</v>
      </c>
      <c r="E12" s="147" cm="1">
        <f t="array" ref="E12">SUMPRODUCT((表格_BOM[Classification]=表格_科目分類價格[[#This Row],[分類]])*表格_BOM[Total Cost]*(表格_BOM[本案_追加]="本案"))</f>
        <v>30</v>
      </c>
      <c r="F12" s="147">
        <f>表格_科目分類價格[[#This Row],[數量]]*表格_科目分類價格[[#This Row],[單價]]</f>
        <v>30</v>
      </c>
      <c r="G12" s="148">
        <f>表格_科目分類價格[[#This Row],[專案成本]]/表格_科目分類價格[[#Totals],[專案成本]]</f>
        <v>8.8401697312588401E-3</v>
      </c>
    </row>
    <row r="13" spans="1:9" s="150" customFormat="1">
      <c r="A13" s="145">
        <v>11</v>
      </c>
      <c r="B13" s="145" t="s">
        <v>58</v>
      </c>
      <c r="C13" s="145">
        <v>1</v>
      </c>
      <c r="D13" s="145" t="s">
        <v>48</v>
      </c>
      <c r="E13" s="147" cm="1">
        <f t="array" ref="E13">SUMPRODUCT((表格_BOM[Classification]=表格_科目分類價格[[#This Row],[分類]])*表格_BOM[Total Cost]*(表格_BOM[本案_追加]="本案"))</f>
        <v>0</v>
      </c>
      <c r="F13" s="147">
        <f>表格_科目分類價格[[#This Row],[數量]]*表格_科目分類價格[[#This Row],[單價]]</f>
        <v>0</v>
      </c>
      <c r="G13" s="148">
        <f>表格_科目分類價格[[#This Row],[專案成本]]/表格_科目分類價格[[#Totals],[專案成本]]</f>
        <v>0</v>
      </c>
    </row>
    <row r="14" spans="1:9" s="150" customFormat="1">
      <c r="A14" s="145">
        <v>12</v>
      </c>
      <c r="B14" s="145" t="s">
        <v>59</v>
      </c>
      <c r="C14" s="145">
        <v>1</v>
      </c>
      <c r="D14" s="145" t="s">
        <v>48</v>
      </c>
      <c r="E14" s="147" cm="1">
        <f t="array" ref="E14">SUMPRODUCT((表格_BOM[Classification]=表格_科目分類價格[[#This Row],[分類]])*表格_BOM[Total Cost]*(表格_BOM[本案_追加]="本案"))</f>
        <v>363.59999999999997</v>
      </c>
      <c r="F14" s="147">
        <f>表格_科目分類價格[[#This Row],[數量]]*表格_科目分類價格[[#This Row],[單價]]</f>
        <v>363.59999999999997</v>
      </c>
      <c r="G14" s="148">
        <f>表格_科目分類價格[[#This Row],[專案成本]]/表格_科目分類價格[[#Totals],[專案成本]]</f>
        <v>0.10714285714285714</v>
      </c>
    </row>
    <row r="15" spans="1:9">
      <c r="A15" s="145">
        <v>13</v>
      </c>
      <c r="B15" s="145" t="s">
        <v>60</v>
      </c>
      <c r="C15" s="145">
        <v>1</v>
      </c>
      <c r="D15" s="145" t="s">
        <v>48</v>
      </c>
      <c r="E15" s="147" cm="1">
        <f t="array" ref="E15">SUMPRODUCT((表格_BOM[Classification]=表格_科目分類價格[[#This Row],[分類]])*表格_BOM[Total Cost]*(表格_BOM[本案_追加]="本案"))</f>
        <v>0</v>
      </c>
      <c r="F15" s="147">
        <f>表格_科目分類價格[[#This Row],[數量]]*表格_科目分類價格[[#This Row],[單價]]</f>
        <v>0</v>
      </c>
      <c r="G15" s="148">
        <f>表格_科目分類價格[[#This Row],[專案成本]]/表格_科目分類價格[[#Totals],[專案成本]]</f>
        <v>0</v>
      </c>
    </row>
    <row r="16" spans="1:9">
      <c r="A16" s="151" t="s">
        <v>61</v>
      </c>
      <c r="B16" s="151"/>
      <c r="C16" s="151"/>
      <c r="D16" s="151"/>
      <c r="E16" s="151"/>
      <c r="F16" s="152">
        <f>SUBTOTAL(109,表格_科目分類價格[專案成本])</f>
        <v>3393.6</v>
      </c>
      <c r="G16" s="153">
        <f>SUBTOTAL(109,表格_科目分類價格[BOM 占比])</f>
        <v>0.99999999999999989</v>
      </c>
    </row>
    <row r="18" spans="1:9" ht="45.75">
      <c r="A18" s="174" t="s">
        <v>62</v>
      </c>
      <c r="B18" s="174"/>
      <c r="C18" s="174"/>
      <c r="D18" s="174"/>
      <c r="E18" s="174"/>
      <c r="F18" s="174"/>
      <c r="G18" s="174"/>
      <c r="H18" s="154"/>
      <c r="I18" s="154"/>
    </row>
    <row r="19" spans="1:9" ht="23.25">
      <c r="A19" s="143" t="s">
        <v>40</v>
      </c>
      <c r="B19" s="143" t="s">
        <v>63</v>
      </c>
      <c r="C19" s="143" t="s">
        <v>42</v>
      </c>
      <c r="D19" s="143" t="s">
        <v>43</v>
      </c>
      <c r="E19" s="143" t="s">
        <v>44</v>
      </c>
      <c r="F19" s="143" t="s">
        <v>45</v>
      </c>
      <c r="G19" s="144" t="s">
        <v>46</v>
      </c>
    </row>
    <row r="20" spans="1:9">
      <c r="A20" s="145">
        <v>1</v>
      </c>
      <c r="B20" s="155" t="s">
        <v>1</v>
      </c>
      <c r="C20" s="145">
        <v>1</v>
      </c>
      <c r="D20" s="145" t="s">
        <v>48</v>
      </c>
      <c r="E20" s="147" cm="1">
        <f t="array" ref="E20">SUMPRODUCT((表格_BOM[Group]=表格_群組分類價格[[#This Row],[群組]])*表格_BOM[Total Cost])</f>
        <v>0</v>
      </c>
      <c r="F20" s="147">
        <f>表格_群組分類價格[[#This Row],[數量]]*表格_群組分類價格[[#This Row],[單價]]</f>
        <v>0</v>
      </c>
      <c r="G20" s="148">
        <f>表格_群組分類價格[[#This Row],[專案成本]]/表格_群組分類價格[[#Totals],[專案成本]]</f>
        <v>0</v>
      </c>
    </row>
    <row r="21" spans="1:9">
      <c r="A21" s="145">
        <v>2</v>
      </c>
      <c r="B21" s="155" t="s">
        <v>64</v>
      </c>
      <c r="C21" s="145">
        <v>1</v>
      </c>
      <c r="D21" s="145" t="s">
        <v>48</v>
      </c>
      <c r="E21" s="147" cm="1">
        <f t="array" ref="E21">SUMPRODUCT((表格_BOM[Group]=表格_群組分類價格[[#This Row],[群組]])*表格_BOM[Total Cost])</f>
        <v>0</v>
      </c>
      <c r="F21" s="147">
        <f>表格_群組分類價格[[#This Row],[數量]]*表格_群組分類價格[[#This Row],[單價]]</f>
        <v>0</v>
      </c>
      <c r="G21" s="148">
        <f>表格_群組分類價格[[#This Row],[專案成本]]/表格_群組分類價格[[#Totals],[專案成本]]</f>
        <v>0</v>
      </c>
    </row>
    <row r="22" spans="1:9">
      <c r="A22" s="145">
        <v>3</v>
      </c>
      <c r="B22" s="155" t="s">
        <v>65</v>
      </c>
      <c r="C22" s="145">
        <v>1</v>
      </c>
      <c r="D22" s="145" t="s">
        <v>48</v>
      </c>
      <c r="E22" s="147" cm="1">
        <f t="array" ref="E22">SUMPRODUCT((表格_BOM[Group]=表格_群組分類價格[[#This Row],[群組]])*表格_BOM[Total Cost])</f>
        <v>0</v>
      </c>
      <c r="F22" s="147">
        <f>表格_群組分類價格[[#This Row],[數量]]*表格_群組分類價格[[#This Row],[單價]]</f>
        <v>0</v>
      </c>
      <c r="G22" s="148">
        <f>表格_群組分類價格[[#This Row],[專案成本]]/表格_群組分類價格[[#Totals],[專案成本]]</f>
        <v>0</v>
      </c>
    </row>
    <row r="23" spans="1:9">
      <c r="A23" s="145">
        <v>4</v>
      </c>
      <c r="B23" s="155" t="s">
        <v>66</v>
      </c>
      <c r="C23" s="145">
        <v>1</v>
      </c>
      <c r="D23" s="145" t="s">
        <v>48</v>
      </c>
      <c r="E23" s="147" cm="1">
        <f t="array" ref="E23">SUMPRODUCT((表格_BOM[Group]=表格_群組分類價格[[#This Row],[群組]])*表格_BOM[Total Cost])</f>
        <v>0</v>
      </c>
      <c r="F23" s="147">
        <f>表格_群組分類價格[[#This Row],[數量]]*表格_群組分類價格[[#This Row],[單價]]</f>
        <v>0</v>
      </c>
      <c r="G23" s="148">
        <f>表格_群組分類價格[[#This Row],[專案成本]]/表格_群組分類價格[[#Totals],[專案成本]]</f>
        <v>0</v>
      </c>
    </row>
    <row r="24" spans="1:9">
      <c r="A24" s="145">
        <v>5</v>
      </c>
      <c r="B24" s="155" t="s">
        <v>67</v>
      </c>
      <c r="C24" s="145">
        <v>1</v>
      </c>
      <c r="D24" s="145" t="s">
        <v>48</v>
      </c>
      <c r="E24" s="147" cm="1">
        <f t="array" ref="E24">SUMPRODUCT((表格_BOM[Group]=表格_群組分類價格[[#This Row],[群組]])*表格_BOM[Total Cost])</f>
        <v>3393.6</v>
      </c>
      <c r="F24" s="147">
        <f>表格_群組分類價格[[#This Row],[數量]]*表格_群組分類價格[[#This Row],[單價]]</f>
        <v>3393.6</v>
      </c>
      <c r="G24" s="148">
        <f>表格_群組分類價格[[#This Row],[專案成本]]/表格_群組分類價格[[#Totals],[專案成本]]</f>
        <v>1</v>
      </c>
    </row>
    <row r="25" spans="1:9">
      <c r="A25" s="151" t="s">
        <v>61</v>
      </c>
      <c r="B25" s="151"/>
      <c r="C25" s="151"/>
      <c r="D25" s="151"/>
      <c r="E25" s="151"/>
      <c r="F25" s="152">
        <f>SUBTOTAL(109,表格_群組分類價格[專案成本])</f>
        <v>3393.6</v>
      </c>
      <c r="G25" s="153">
        <f>SUBTOTAL(109,表格_群組分類價格[BOM 占比])</f>
        <v>1</v>
      </c>
    </row>
    <row r="27" spans="1:9" ht="45.75">
      <c r="A27" s="174" t="s">
        <v>68</v>
      </c>
      <c r="B27" s="174"/>
      <c r="C27" s="174"/>
      <c r="D27" s="174"/>
      <c r="E27" s="174"/>
      <c r="F27" s="174"/>
      <c r="G27" s="174"/>
    </row>
    <row r="28" spans="1:9" ht="23.25">
      <c r="A28" s="143" t="s">
        <v>40</v>
      </c>
      <c r="B28" s="143" t="s">
        <v>69</v>
      </c>
      <c r="C28" s="143" t="s">
        <v>42</v>
      </c>
      <c r="D28" s="143" t="s">
        <v>43</v>
      </c>
      <c r="E28" s="143" t="s">
        <v>44</v>
      </c>
      <c r="F28" s="143" t="s">
        <v>45</v>
      </c>
      <c r="G28" s="144" t="s">
        <v>46</v>
      </c>
    </row>
    <row r="29" spans="1:9">
      <c r="A29" s="145">
        <v>1</v>
      </c>
      <c r="B29" s="155" t="s">
        <v>70</v>
      </c>
      <c r="C29" s="145">
        <v>1</v>
      </c>
      <c r="D29" s="145" t="s">
        <v>48</v>
      </c>
      <c r="E29" s="147" cm="1">
        <f t="array" ref="E29">SUMPRODUCT((表格_BOM[Manufacture]=表格_廠商分類[[#This Row],[公司名]])*表格_BOM[Total Cost])</f>
        <v>3393.6</v>
      </c>
      <c r="F29" s="147">
        <f>表格_廠商分類[[#This Row],[數量]]*表格_廠商分類[[#This Row],[單價]]</f>
        <v>3393.6</v>
      </c>
      <c r="G29" s="148">
        <f>表格_廠商分類[[#This Row],[專案成本]]/表格_廠商分類[[#Totals],[專案成本]]</f>
        <v>1</v>
      </c>
    </row>
    <row r="30" spans="1:9">
      <c r="A30" s="145">
        <v>2</v>
      </c>
      <c r="B30" s="155" t="s">
        <v>71</v>
      </c>
      <c r="C30" s="145">
        <v>1</v>
      </c>
      <c r="D30" s="145" t="s">
        <v>48</v>
      </c>
      <c r="E30" s="147" cm="1">
        <f t="array" ref="E30">SUMPRODUCT((表格_BOM[Manufacture]=表格_廠商分類[[#This Row],[公司名]])*表格_BOM[Total Cost])</f>
        <v>0</v>
      </c>
      <c r="F30" s="147">
        <f>表格_廠商分類[[#This Row],[數量]]*表格_廠商分類[[#This Row],[單價]]</f>
        <v>0</v>
      </c>
      <c r="G30" s="148">
        <f>表格_廠商分類[[#This Row],[專案成本]]/表格_廠商分類[[#Totals],[專案成本]]</f>
        <v>0</v>
      </c>
    </row>
    <row r="31" spans="1:9">
      <c r="A31" s="145">
        <v>3</v>
      </c>
      <c r="B31" s="155" t="s">
        <v>72</v>
      </c>
      <c r="C31" s="145">
        <v>1</v>
      </c>
      <c r="D31" s="145" t="s">
        <v>48</v>
      </c>
      <c r="E31" s="147" cm="1">
        <f t="array" ref="E31">SUMPRODUCT((表格_BOM[Manufacture]=表格_廠商分類[[#This Row],[公司名]])*表格_BOM[Total Cost])</f>
        <v>0</v>
      </c>
      <c r="F31" s="147">
        <f>表格_廠商分類[[#This Row],[數量]]*表格_廠商分類[[#This Row],[單價]]</f>
        <v>0</v>
      </c>
      <c r="G31" s="148">
        <f>表格_廠商分類[[#This Row],[專案成本]]/表格_廠商分類[[#Totals],[專案成本]]</f>
        <v>0</v>
      </c>
    </row>
    <row r="32" spans="1:9">
      <c r="A32" s="145">
        <v>4</v>
      </c>
      <c r="B32" s="155" t="s">
        <v>73</v>
      </c>
      <c r="C32" s="145">
        <v>1</v>
      </c>
      <c r="D32" s="145" t="s">
        <v>48</v>
      </c>
      <c r="E32" s="147" cm="1">
        <f t="array" ref="E32">SUMPRODUCT((表格_BOM[Manufacture]=表格_廠商分類[[#This Row],[公司名]])*表格_BOM[Total Cost])</f>
        <v>0</v>
      </c>
      <c r="F32" s="147">
        <f>表格_廠商分類[[#This Row],[數量]]*表格_廠商分類[[#This Row],[單價]]</f>
        <v>0</v>
      </c>
      <c r="G32" s="148">
        <f>表格_廠商分類[[#This Row],[專案成本]]/表格_廠商分類[[#Totals],[專案成本]]</f>
        <v>0</v>
      </c>
    </row>
    <row r="33" spans="1:7">
      <c r="A33" s="145">
        <v>5</v>
      </c>
      <c r="B33" s="155" t="s">
        <v>74</v>
      </c>
      <c r="C33" s="145">
        <v>1</v>
      </c>
      <c r="D33" s="145" t="s">
        <v>48</v>
      </c>
      <c r="E33" s="147" cm="1">
        <f t="array" ref="E33">SUMPRODUCT((表格_BOM[Manufacture]=表格_廠商分類[[#This Row],[公司名]])*表格_BOM[Total Cost])</f>
        <v>0</v>
      </c>
      <c r="F33" s="147">
        <f>表格_廠商分類[[#This Row],[數量]]*表格_廠商分類[[#This Row],[單價]]</f>
        <v>0</v>
      </c>
      <c r="G33" s="148">
        <f>表格_廠商分類[[#This Row],[專案成本]]/表格_廠商分類[[#Totals],[專案成本]]</f>
        <v>0</v>
      </c>
    </row>
    <row r="34" spans="1:7">
      <c r="A34" s="145">
        <v>6</v>
      </c>
      <c r="B34" s="155" t="s">
        <v>75</v>
      </c>
      <c r="C34" s="145">
        <v>1</v>
      </c>
      <c r="D34" s="145" t="s">
        <v>48</v>
      </c>
      <c r="E34" s="147" cm="1">
        <f t="array" ref="E34">SUMPRODUCT((表格_BOM[Manufacture]=表格_廠商分類[[#This Row],[公司名]])*表格_BOM[Total Cost])</f>
        <v>0</v>
      </c>
      <c r="F34" s="147">
        <f>表格_廠商分類[[#This Row],[數量]]*表格_廠商分類[[#This Row],[單價]]</f>
        <v>0</v>
      </c>
      <c r="G34" s="148">
        <f>表格_廠商分類[[#This Row],[專案成本]]/表格_廠商分類[[#Totals],[專案成本]]</f>
        <v>0</v>
      </c>
    </row>
    <row r="35" spans="1:7">
      <c r="A35" s="145">
        <v>7</v>
      </c>
      <c r="B35" s="155" t="s">
        <v>76</v>
      </c>
      <c r="C35" s="145">
        <v>1</v>
      </c>
      <c r="D35" s="145" t="s">
        <v>48</v>
      </c>
      <c r="E35" s="147" cm="1">
        <f t="array" ref="E35">SUMPRODUCT((表格_BOM[Manufacture]=表格_廠商分類[[#This Row],[公司名]])*表格_BOM[Total Cost])</f>
        <v>0</v>
      </c>
      <c r="F35" s="147">
        <f>表格_廠商分類[[#This Row],[數量]]*表格_廠商分類[[#This Row],[單價]]</f>
        <v>0</v>
      </c>
      <c r="G35" s="148">
        <f>表格_廠商分類[[#This Row],[專案成本]]/表格_廠商分類[[#Totals],[專案成本]]</f>
        <v>0</v>
      </c>
    </row>
    <row r="36" spans="1:7">
      <c r="A36" s="145">
        <v>8</v>
      </c>
      <c r="B36" s="155" t="s">
        <v>77</v>
      </c>
      <c r="C36" s="145">
        <v>1</v>
      </c>
      <c r="D36" s="145" t="s">
        <v>48</v>
      </c>
      <c r="E36" s="147" cm="1">
        <f t="array" ref="E36">SUMPRODUCT((表格_BOM[Manufacture]=表格_廠商分類[[#This Row],[公司名]])*表格_BOM[Total Cost])</f>
        <v>0</v>
      </c>
      <c r="F36" s="147">
        <f>表格_廠商分類[[#This Row],[數量]]*表格_廠商分類[[#This Row],[單價]]</f>
        <v>0</v>
      </c>
      <c r="G36" s="148">
        <f>表格_廠商分類[[#This Row],[專案成本]]/表格_廠商分類[[#Totals],[專案成本]]</f>
        <v>0</v>
      </c>
    </row>
    <row r="37" spans="1:7">
      <c r="A37" s="145">
        <v>9</v>
      </c>
      <c r="B37" s="155" t="s">
        <v>78</v>
      </c>
      <c r="C37" s="145">
        <v>1</v>
      </c>
      <c r="D37" s="145" t="s">
        <v>48</v>
      </c>
      <c r="E37" s="147" cm="1">
        <f t="array" ref="E37">SUMPRODUCT((表格_BOM[Manufacture]=表格_廠商分類[[#This Row],[公司名]])*表格_BOM[Total Cost])</f>
        <v>0</v>
      </c>
      <c r="F37" s="147">
        <f>表格_廠商分類[[#This Row],[數量]]*表格_廠商分類[[#This Row],[單價]]</f>
        <v>0</v>
      </c>
      <c r="G37" s="148">
        <f>表格_廠商分類[[#This Row],[專案成本]]/表格_廠商分類[[#Totals],[專案成本]]</f>
        <v>0</v>
      </c>
    </row>
    <row r="38" spans="1:7">
      <c r="A38" s="145">
        <v>10</v>
      </c>
      <c r="B38" s="155" t="s">
        <v>79</v>
      </c>
      <c r="C38" s="145">
        <v>1</v>
      </c>
      <c r="D38" s="145" t="s">
        <v>48</v>
      </c>
      <c r="E38" s="147" cm="1">
        <f t="array" ref="E38">SUMPRODUCT((表格_BOM[Manufacture]=表格_廠商分類[[#This Row],[公司名]])*表格_BOM[Total Cost])</f>
        <v>0</v>
      </c>
      <c r="F38" s="147">
        <f>表格_廠商分類[[#This Row],[數量]]*表格_廠商分類[[#This Row],[單價]]</f>
        <v>0</v>
      </c>
      <c r="G38" s="148">
        <f>表格_廠商分類[[#This Row],[專案成本]]/表格_廠商分類[[#Totals],[專案成本]]</f>
        <v>0</v>
      </c>
    </row>
    <row r="39" spans="1:7">
      <c r="A39" s="145">
        <v>11</v>
      </c>
      <c r="B39" s="155" t="s">
        <v>80</v>
      </c>
      <c r="C39" s="145">
        <v>1</v>
      </c>
      <c r="D39" s="145" t="s">
        <v>48</v>
      </c>
      <c r="E39" s="147" cm="1">
        <f t="array" ref="E39">SUMPRODUCT((表格_BOM[Manufacture]=表格_廠商分類[[#This Row],[公司名]])*表格_BOM[Total Cost])</f>
        <v>0</v>
      </c>
      <c r="F39" s="147">
        <f>表格_廠商分類[[#This Row],[數量]]*表格_廠商分類[[#This Row],[單價]]</f>
        <v>0</v>
      </c>
      <c r="G39" s="148">
        <f>表格_廠商分類[[#This Row],[專案成本]]/表格_廠商分類[[#Totals],[專案成本]]</f>
        <v>0</v>
      </c>
    </row>
    <row r="40" spans="1:7">
      <c r="A40" s="145">
        <v>12</v>
      </c>
      <c r="B40" s="155" t="s">
        <v>81</v>
      </c>
      <c r="C40" s="145">
        <v>1</v>
      </c>
      <c r="D40" s="145" t="s">
        <v>48</v>
      </c>
      <c r="E40" s="147" cm="1">
        <f t="array" ref="E40">SUMPRODUCT((表格_BOM[Manufacture]=表格_廠商分類[[#This Row],[公司名]])*表格_BOM[Total Cost])</f>
        <v>0</v>
      </c>
      <c r="F40" s="147">
        <f>表格_廠商分類[[#This Row],[數量]]*表格_廠商分類[[#This Row],[單價]]</f>
        <v>0</v>
      </c>
      <c r="G40" s="148">
        <f>表格_廠商分類[[#This Row],[專案成本]]/表格_廠商分類[[#Totals],[專案成本]]</f>
        <v>0</v>
      </c>
    </row>
    <row r="41" spans="1:7">
      <c r="A41" s="145">
        <v>13</v>
      </c>
      <c r="B41" s="155" t="s">
        <v>82</v>
      </c>
      <c r="C41" s="145">
        <v>1</v>
      </c>
      <c r="D41" s="145" t="s">
        <v>48</v>
      </c>
      <c r="E41" s="147" cm="1">
        <f t="array" ref="E41">SUMPRODUCT((表格_BOM[Manufacture]=表格_廠商分類[[#This Row],[公司名]])*表格_BOM[Total Cost])</f>
        <v>0</v>
      </c>
      <c r="F41" s="147">
        <f>表格_廠商分類[[#This Row],[數量]]*表格_廠商分類[[#This Row],[單價]]</f>
        <v>0</v>
      </c>
      <c r="G41" s="148">
        <f>表格_廠商分類[[#This Row],[專案成本]]/表格_廠商分類[[#Totals],[專案成本]]</f>
        <v>0</v>
      </c>
    </row>
    <row r="42" spans="1:7">
      <c r="A42" s="145">
        <v>14</v>
      </c>
      <c r="B42" s="155" t="s">
        <v>83</v>
      </c>
      <c r="C42" s="145">
        <v>1</v>
      </c>
      <c r="D42" s="145" t="s">
        <v>48</v>
      </c>
      <c r="E42" s="147" cm="1">
        <f t="array" ref="E42">SUMPRODUCT((表格_BOM[Manufacture]=表格_廠商分類[[#This Row],[公司名]])*表格_BOM[Total Cost])</f>
        <v>0</v>
      </c>
      <c r="F42" s="147">
        <f>表格_廠商分類[[#This Row],[數量]]*表格_廠商分類[[#This Row],[單價]]</f>
        <v>0</v>
      </c>
      <c r="G42" s="148">
        <f>表格_廠商分類[[#This Row],[專案成本]]/表格_廠商分類[[#Totals],[專案成本]]</f>
        <v>0</v>
      </c>
    </row>
    <row r="43" spans="1:7">
      <c r="A43" s="145">
        <v>15</v>
      </c>
      <c r="B43" s="155" t="s">
        <v>84</v>
      </c>
      <c r="C43" s="145">
        <v>1</v>
      </c>
      <c r="D43" s="145" t="s">
        <v>48</v>
      </c>
      <c r="E43" s="147" cm="1">
        <f t="array" ref="E43">SUMPRODUCT((表格_BOM[Manufacture]=表格_廠商分類[[#This Row],[公司名]])*表格_BOM[Total Cost])</f>
        <v>0</v>
      </c>
      <c r="F43" s="147">
        <f>表格_廠商分類[[#This Row],[數量]]*表格_廠商分類[[#This Row],[單價]]</f>
        <v>0</v>
      </c>
      <c r="G43" s="148">
        <f>表格_廠商分類[[#This Row],[專案成本]]/表格_廠商分類[[#Totals],[專案成本]]</f>
        <v>0</v>
      </c>
    </row>
    <row r="44" spans="1:7">
      <c r="A44" s="145">
        <v>16</v>
      </c>
      <c r="B44" s="155" t="s">
        <v>85</v>
      </c>
      <c r="C44" s="145">
        <v>1</v>
      </c>
      <c r="D44" s="145" t="s">
        <v>48</v>
      </c>
      <c r="E44" s="147" cm="1">
        <f t="array" ref="E44">SUMPRODUCT((表格_BOM[Manufacture]=表格_廠商分類[[#This Row],[公司名]])*表格_BOM[Total Cost])</f>
        <v>0</v>
      </c>
      <c r="F44" s="147">
        <f>表格_廠商分類[[#This Row],[數量]]*表格_廠商分類[[#This Row],[單價]]</f>
        <v>0</v>
      </c>
      <c r="G44" s="148">
        <f>表格_廠商分類[[#This Row],[專案成本]]/表格_廠商分類[[#Totals],[專案成本]]</f>
        <v>0</v>
      </c>
    </row>
    <row r="45" spans="1:7">
      <c r="A45" s="145">
        <v>17</v>
      </c>
      <c r="B45" s="155" t="s">
        <v>86</v>
      </c>
      <c r="C45" s="145">
        <v>1</v>
      </c>
      <c r="D45" s="145" t="s">
        <v>48</v>
      </c>
      <c r="E45" s="147" cm="1">
        <f t="array" ref="E45">SUMPRODUCT((表格_BOM[Manufacture]=表格_廠商分類[[#This Row],[公司名]])*表格_BOM[Total Cost])</f>
        <v>0</v>
      </c>
      <c r="F45" s="147">
        <f>表格_廠商分類[[#This Row],[數量]]*表格_廠商分類[[#This Row],[單價]]</f>
        <v>0</v>
      </c>
      <c r="G45" s="148">
        <f>表格_廠商分類[[#This Row],[專案成本]]/表格_廠商分類[[#Totals],[專案成本]]</f>
        <v>0</v>
      </c>
    </row>
    <row r="46" spans="1:7">
      <c r="A46" s="145">
        <v>18</v>
      </c>
      <c r="B46" s="155" t="s">
        <v>87</v>
      </c>
      <c r="C46" s="145">
        <v>1</v>
      </c>
      <c r="D46" s="145" t="s">
        <v>48</v>
      </c>
      <c r="E46" s="147" cm="1">
        <f t="array" ref="E46">SUMPRODUCT((表格_BOM[Manufacture]=表格_廠商分類[[#This Row],[公司名]])*表格_BOM[Total Cost])</f>
        <v>0</v>
      </c>
      <c r="F46" s="147">
        <f>表格_廠商分類[[#This Row],[數量]]*表格_廠商分類[[#This Row],[單價]]</f>
        <v>0</v>
      </c>
      <c r="G46" s="148">
        <f>表格_廠商分類[[#This Row],[專案成本]]/表格_廠商分類[[#Totals],[專案成本]]</f>
        <v>0</v>
      </c>
    </row>
    <row r="47" spans="1:7">
      <c r="A47" s="145">
        <v>19</v>
      </c>
      <c r="B47" s="155" t="s">
        <v>88</v>
      </c>
      <c r="C47" s="145">
        <v>1</v>
      </c>
      <c r="D47" s="145" t="s">
        <v>48</v>
      </c>
      <c r="E47" s="147" cm="1">
        <f t="array" ref="E47">SUMPRODUCT((表格_BOM[Manufacture]=表格_廠商分類[[#This Row],[公司名]])*表格_BOM[Total Cost])</f>
        <v>0</v>
      </c>
      <c r="F47" s="147">
        <f>表格_廠商分類[[#This Row],[數量]]*表格_廠商分類[[#This Row],[單價]]</f>
        <v>0</v>
      </c>
      <c r="G47" s="148">
        <f>表格_廠商分類[[#This Row],[專案成本]]/表格_廠商分類[[#Totals],[專案成本]]</f>
        <v>0</v>
      </c>
    </row>
    <row r="48" spans="1:7">
      <c r="A48" s="145">
        <v>20</v>
      </c>
      <c r="B48" s="155" t="s">
        <v>89</v>
      </c>
      <c r="C48" s="145">
        <v>1</v>
      </c>
      <c r="D48" s="145" t="s">
        <v>48</v>
      </c>
      <c r="E48" s="147" cm="1">
        <f t="array" ref="E48">SUMPRODUCT((表格_BOM[Manufacture]=表格_廠商分類[[#This Row],[公司名]])*表格_BOM[Total Cost])</f>
        <v>0</v>
      </c>
      <c r="F48" s="147">
        <f>表格_廠商分類[[#This Row],[數量]]*表格_廠商分類[[#This Row],[單價]]</f>
        <v>0</v>
      </c>
      <c r="G48" s="148">
        <f>表格_廠商分類[[#This Row],[專案成本]]/表格_廠商分類[[#Totals],[專案成本]]</f>
        <v>0</v>
      </c>
    </row>
    <row r="49" spans="1:7">
      <c r="A49" s="145">
        <v>21</v>
      </c>
      <c r="B49" s="155" t="s">
        <v>90</v>
      </c>
      <c r="C49" s="145">
        <v>1</v>
      </c>
      <c r="D49" s="145" t="s">
        <v>48</v>
      </c>
      <c r="E49" s="147" cm="1">
        <f t="array" ref="E49">SUMPRODUCT((表格_BOM[Manufacture]=表格_廠商分類[[#This Row],[公司名]])*表格_BOM[Total Cost])</f>
        <v>0</v>
      </c>
      <c r="F49" s="147">
        <f>表格_廠商分類[[#This Row],[數量]]*表格_廠商分類[[#This Row],[單價]]</f>
        <v>0</v>
      </c>
      <c r="G49" s="148">
        <f>表格_廠商分類[[#This Row],[專案成本]]/表格_廠商分類[[#Totals],[專案成本]]</f>
        <v>0</v>
      </c>
    </row>
    <row r="50" spans="1:7">
      <c r="A50" s="145">
        <v>22</v>
      </c>
      <c r="B50" s="155" t="s">
        <v>91</v>
      </c>
      <c r="C50" s="145">
        <v>1</v>
      </c>
      <c r="D50" s="145" t="s">
        <v>48</v>
      </c>
      <c r="E50" s="147" cm="1">
        <f t="array" ref="E50">SUMPRODUCT((表格_BOM[Manufacture]=表格_廠商分類[[#This Row],[公司名]])*表格_BOM[Total Cost])</f>
        <v>0</v>
      </c>
      <c r="F50" s="147">
        <f>表格_廠商分類[[#This Row],[數量]]*表格_廠商分類[[#This Row],[單價]]</f>
        <v>0</v>
      </c>
      <c r="G50" s="148">
        <f>表格_廠商分類[[#This Row],[專案成本]]/表格_廠商分類[[#Totals],[專案成本]]</f>
        <v>0</v>
      </c>
    </row>
    <row r="51" spans="1:7">
      <c r="A51" s="145">
        <v>23</v>
      </c>
      <c r="B51" s="155" t="s">
        <v>92</v>
      </c>
      <c r="C51" s="145">
        <v>1</v>
      </c>
      <c r="D51" s="145" t="s">
        <v>48</v>
      </c>
      <c r="E51" s="147" cm="1">
        <f t="array" ref="E51">SUMPRODUCT((表格_BOM[Manufacture]=表格_廠商分類[[#This Row],[公司名]])*表格_BOM[Total Cost])</f>
        <v>0</v>
      </c>
      <c r="F51" s="147">
        <f>表格_廠商分類[[#This Row],[數量]]*表格_廠商分類[[#This Row],[單價]]</f>
        <v>0</v>
      </c>
      <c r="G51" s="148">
        <f>表格_廠商分類[[#This Row],[專案成本]]/表格_廠商分類[[#Totals],[專案成本]]</f>
        <v>0</v>
      </c>
    </row>
    <row r="52" spans="1:7">
      <c r="A52" s="145">
        <v>24</v>
      </c>
      <c r="B52" s="155" t="s">
        <v>93</v>
      </c>
      <c r="C52" s="145">
        <v>1</v>
      </c>
      <c r="D52" s="145" t="s">
        <v>48</v>
      </c>
      <c r="E52" s="147" cm="1">
        <f t="array" ref="E52">SUMPRODUCT((表格_BOM[Manufacture]=表格_廠商分類[[#This Row],[公司名]])*表格_BOM[Total Cost])</f>
        <v>0</v>
      </c>
      <c r="F52" s="147">
        <f>表格_廠商分類[[#This Row],[數量]]*表格_廠商分類[[#This Row],[單價]]</f>
        <v>0</v>
      </c>
      <c r="G52" s="148">
        <f>表格_廠商分類[[#This Row],[專案成本]]/表格_廠商分類[[#Totals],[專案成本]]</f>
        <v>0</v>
      </c>
    </row>
    <row r="53" spans="1:7">
      <c r="A53" s="145">
        <v>25</v>
      </c>
      <c r="B53" s="155" t="s">
        <v>94</v>
      </c>
      <c r="C53" s="145">
        <v>1</v>
      </c>
      <c r="D53" s="145" t="s">
        <v>48</v>
      </c>
      <c r="E53" s="147" cm="1">
        <f t="array" ref="E53">SUMPRODUCT((表格_BOM[Manufacture]=表格_廠商分類[[#This Row],[公司名]])*表格_BOM[Total Cost])</f>
        <v>0</v>
      </c>
      <c r="F53" s="147">
        <f>表格_廠商分類[[#This Row],[數量]]*表格_廠商分類[[#This Row],[單價]]</f>
        <v>0</v>
      </c>
      <c r="G53" s="148">
        <f>表格_廠商分類[[#This Row],[專案成本]]/表格_廠商分類[[#Totals],[專案成本]]</f>
        <v>0</v>
      </c>
    </row>
    <row r="54" spans="1:7">
      <c r="A54" s="145">
        <v>26</v>
      </c>
      <c r="B54" s="155" t="s">
        <v>95</v>
      </c>
      <c r="C54" s="145">
        <v>1</v>
      </c>
      <c r="D54" s="145" t="s">
        <v>48</v>
      </c>
      <c r="E54" s="147" cm="1">
        <f t="array" ref="E54">SUMPRODUCT((表格_BOM[Manufacture]=表格_廠商分類[[#This Row],[公司名]])*表格_BOM[Total Cost])</f>
        <v>0</v>
      </c>
      <c r="F54" s="147">
        <f>表格_廠商分類[[#This Row],[數量]]*表格_廠商分類[[#This Row],[單價]]</f>
        <v>0</v>
      </c>
      <c r="G54" s="148">
        <f>表格_廠商分類[[#This Row],[專案成本]]/表格_廠商分類[[#Totals],[專案成本]]</f>
        <v>0</v>
      </c>
    </row>
    <row r="55" spans="1:7">
      <c r="A55" s="151" t="s">
        <v>61</v>
      </c>
      <c r="B55" s="151"/>
      <c r="C55" s="151"/>
      <c r="D55" s="151"/>
      <c r="E55" s="151"/>
      <c r="F55" s="152">
        <f>SUBTOTAL(109,表格_廠商分類[專案成本])</f>
        <v>3393.6</v>
      </c>
      <c r="G55" s="153">
        <f>SUBTOTAL(109,表格_廠商分類[BOM 占比])</f>
        <v>1</v>
      </c>
    </row>
    <row r="57" spans="1:7" ht="45.75">
      <c r="A57" s="174" t="s">
        <v>96</v>
      </c>
      <c r="B57" s="174"/>
      <c r="C57" s="174"/>
      <c r="D57" s="174"/>
      <c r="E57" s="174"/>
      <c r="F57" s="174"/>
      <c r="G57" s="174"/>
    </row>
    <row r="58" spans="1:7" ht="23.25">
      <c r="A58" s="143" t="s">
        <v>40</v>
      </c>
      <c r="B58" s="143" t="s">
        <v>41</v>
      </c>
      <c r="C58" s="143" t="s">
        <v>42</v>
      </c>
      <c r="D58" s="143" t="s">
        <v>43</v>
      </c>
      <c r="E58" s="143" t="s">
        <v>44</v>
      </c>
      <c r="F58" s="143" t="s">
        <v>45</v>
      </c>
      <c r="G58" s="144" t="s">
        <v>46</v>
      </c>
    </row>
    <row r="59" spans="1:7">
      <c r="A59" s="145">
        <v>1</v>
      </c>
      <c r="B59" s="155" t="s">
        <v>97</v>
      </c>
      <c r="C59" s="145">
        <v>1</v>
      </c>
      <c r="D59" s="145" t="s">
        <v>48</v>
      </c>
      <c r="E59" s="147" cm="1">
        <f t="array" ref="E59">SUMPRODUCT((表格_BOM[本案_追加]=表格_本案及追加分析[[#This Row],[分類]])*表格_BOM[Total Cost])</f>
        <v>3393.6</v>
      </c>
      <c r="F59" s="147">
        <f>表格_本案及追加分析[[#This Row],[數量]]*表格_本案及追加分析[[#This Row],[單價]]</f>
        <v>3393.6</v>
      </c>
      <c r="G59" s="148">
        <f>表格_本案及追加分析[[#This Row],[專案成本]]/表格_本案及追加分析[[#Totals],[專案成本]]</f>
        <v>1</v>
      </c>
    </row>
    <row r="60" spans="1:7">
      <c r="A60" s="145">
        <v>2</v>
      </c>
      <c r="B60" s="155" t="s">
        <v>98</v>
      </c>
      <c r="C60" s="145">
        <v>1</v>
      </c>
      <c r="D60" s="145" t="s">
        <v>48</v>
      </c>
      <c r="E60" s="147" cm="1">
        <f t="array" ref="E60">SUMPRODUCT((表格_BOM[本案_追加]=表格_本案及追加分析[[#This Row],[分類]])*表格_BOM[Total Cost])</f>
        <v>0</v>
      </c>
      <c r="F60" s="147">
        <f>表格_本案及追加分析[[#This Row],[數量]]*表格_本案及追加分析[[#This Row],[單價]]</f>
        <v>0</v>
      </c>
      <c r="G60" s="148">
        <f>表格_本案及追加分析[[#This Row],[專案成本]]/表格_本案及追加分析[[#Totals],[專案成本]]</f>
        <v>0</v>
      </c>
    </row>
    <row r="61" spans="1:7">
      <c r="A61" s="145">
        <v>3</v>
      </c>
      <c r="B61" s="155" t="s">
        <v>99</v>
      </c>
      <c r="C61" s="145">
        <v>1</v>
      </c>
      <c r="D61" s="145" t="s">
        <v>48</v>
      </c>
      <c r="E61" s="147" cm="1">
        <f t="array" ref="E61">SUMPRODUCT((表格_BOM[本案_追加]=表格_本案及追加分析[[#This Row],[分類]])*表格_BOM[Total Cost])</f>
        <v>0</v>
      </c>
      <c r="F61" s="147">
        <f>表格_本案及追加分析[[#This Row],[數量]]*表格_本案及追加分析[[#This Row],[單價]]</f>
        <v>0</v>
      </c>
      <c r="G61" s="148">
        <f>表格_本案及追加分析[[#This Row],[專案成本]]/表格_本案及追加分析[[#Totals],[專案成本]]</f>
        <v>0</v>
      </c>
    </row>
    <row r="62" spans="1:7">
      <c r="A62" s="151" t="s">
        <v>61</v>
      </c>
      <c r="B62" s="151"/>
      <c r="C62" s="151"/>
      <c r="D62" s="151"/>
      <c r="E62" s="151"/>
      <c r="F62" s="152">
        <f>SUBTOTAL(109,表格_本案及追加分析[專案成本])</f>
        <v>3393.6</v>
      </c>
      <c r="G62" s="153">
        <f>SUBTOTAL(109,表格_本案及追加分析[BOM 占比])</f>
        <v>1</v>
      </c>
    </row>
  </sheetData>
  <mergeCells count="4">
    <mergeCell ref="A18:G18"/>
    <mergeCell ref="A1:G1"/>
    <mergeCell ref="A27:G27"/>
    <mergeCell ref="A57:G57"/>
  </mergeCells>
  <phoneticPr fontId="8" type="noConversion"/>
  <conditionalFormatting sqref="B25">
    <cfRule type="expression" dxfId="3" priority="6">
      <formula>ISODD(ROW(TableAnchor))&lt;&gt;ISODD(ROW(B25))</formula>
    </cfRule>
  </conditionalFormatting>
  <conditionalFormatting sqref="B55">
    <cfRule type="expression" dxfId="2" priority="2">
      <formula>ISODD(ROW(TableAnchor))&lt;&gt;ISODD(ROW(B55))</formula>
    </cfRule>
  </conditionalFormatting>
  <conditionalFormatting sqref="B62">
    <cfRule type="expression" dxfId="1" priority="1">
      <formula>ISODD(ROW(TableAnchor))&lt;&gt;ISODD(ROW(B62))</formula>
    </cfRule>
  </conditionalFormatting>
  <pageMargins left="0.7" right="0.7" top="0.75" bottom="0.75" header="0.3" footer="0.3"/>
  <pageSetup paperSize="9" orientation="portrait" horizontalDpi="1200" verticalDpi="1200" r:id="rId1"/>
  <tableParts count="4"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4"/>
  </sheetPr>
  <dimension ref="A1:Y44"/>
  <sheetViews>
    <sheetView tabSelected="1" zoomScaleNormal="100" zoomScalePageLayoutView="75" workbookViewId="0">
      <pane xSplit="2" ySplit="4" topLeftCell="C20" activePane="bottomRight" state="frozen"/>
      <selection pane="topRight" activeCell="C1" sqref="C1"/>
      <selection pane="bottomLeft" activeCell="A5" sqref="A5"/>
      <selection pane="bottomRight" activeCell="M44" sqref="M44"/>
    </sheetView>
  </sheetViews>
  <sheetFormatPr defaultColWidth="9" defaultRowHeight="21" customHeight="1"/>
  <cols>
    <col min="1" max="1" width="1.85546875" style="15" customWidth="1"/>
    <col min="2" max="2" width="5" style="15" customWidth="1"/>
    <col min="3" max="3" width="5" style="27" customWidth="1"/>
    <col min="4" max="4" width="19.140625" style="27" bestFit="1" customWidth="1"/>
    <col min="5" max="6" width="21" style="28" customWidth="1"/>
    <col min="7" max="7" width="34.35546875" style="45" bestFit="1" customWidth="1"/>
    <col min="8" max="8" width="32.140625" style="45" customWidth="1"/>
    <col min="9" max="9" width="18.5" style="29" bestFit="1" customWidth="1"/>
    <col min="10" max="10" width="11.140625" style="30" bestFit="1" customWidth="1"/>
    <col min="11" max="11" width="12" style="30" bestFit="1" customWidth="1"/>
    <col min="12" max="12" width="17.5" style="159" bestFit="1" customWidth="1"/>
    <col min="13" max="13" width="18" style="160" customWidth="1"/>
    <col min="14" max="16" width="16.640625" style="31" customWidth="1"/>
    <col min="17" max="18" width="16.640625" style="55" customWidth="1"/>
    <col min="19" max="19" width="16.640625" style="31" customWidth="1"/>
    <col min="20" max="20" width="20.140625" style="31" customWidth="1"/>
    <col min="21" max="21" width="24.140625" style="55" bestFit="1" customWidth="1"/>
    <col min="22" max="22" width="24.140625" style="31" bestFit="1" customWidth="1"/>
    <col min="23" max="23" width="16.640625" style="31" customWidth="1"/>
    <col min="24" max="24" width="29.140625" style="32" customWidth="1"/>
    <col min="25" max="25" width="9" style="16"/>
    <col min="26" max="26" width="13.35546875" style="16" bestFit="1" customWidth="1"/>
    <col min="27" max="27" width="10" style="16" bestFit="1" customWidth="1"/>
    <col min="28" max="16384" width="9" style="16"/>
  </cols>
  <sheetData>
    <row r="1" spans="1:25" ht="6.75" customHeight="1">
      <c r="A1" s="17"/>
      <c r="B1" s="17"/>
      <c r="C1" s="18"/>
      <c r="D1" s="18"/>
      <c r="E1" s="19"/>
      <c r="F1" s="19"/>
      <c r="G1" s="44"/>
      <c r="H1" s="44"/>
      <c r="I1" s="20"/>
      <c r="J1" s="21"/>
      <c r="K1" s="21"/>
      <c r="L1" s="157"/>
      <c r="M1" s="158"/>
      <c r="N1" s="22"/>
      <c r="O1" s="22"/>
      <c r="P1" s="22"/>
      <c r="Q1" s="53"/>
      <c r="R1" s="53"/>
      <c r="S1" s="22"/>
      <c r="T1" s="22"/>
      <c r="U1" s="53"/>
      <c r="V1" s="22"/>
      <c r="W1" s="22"/>
      <c r="X1" s="23"/>
    </row>
    <row r="2" spans="1:25" s="26" customFormat="1" ht="21.75" customHeight="1">
      <c r="A2" s="33"/>
      <c r="B2" s="175" t="str">
        <f>'01參數設定'!B3&amp;"-"&amp;'01參數設定'!B4</f>
        <v>-</v>
      </c>
      <c r="C2" s="175"/>
      <c r="D2" s="175"/>
      <c r="E2" s="175"/>
      <c r="F2" s="175"/>
      <c r="G2" s="175"/>
      <c r="H2" s="175"/>
      <c r="I2" s="175"/>
      <c r="J2" s="175"/>
      <c r="K2" s="175"/>
      <c r="L2" s="175"/>
      <c r="M2" s="175"/>
      <c r="N2" s="24"/>
      <c r="O2" s="24"/>
      <c r="P2" s="24"/>
      <c r="Q2" s="54"/>
      <c r="R2" s="54"/>
      <c r="S2" s="24"/>
      <c r="T2" s="24"/>
      <c r="U2" s="54"/>
      <c r="V2" s="24"/>
      <c r="W2" s="24"/>
      <c r="X2" s="25"/>
    </row>
    <row r="3" spans="1:25" ht="6" customHeight="1"/>
    <row r="4" spans="1:25" ht="33" customHeight="1">
      <c r="B4" s="34" t="s">
        <v>100</v>
      </c>
      <c r="C4" s="35" t="s">
        <v>101</v>
      </c>
      <c r="D4" s="35" t="s">
        <v>102</v>
      </c>
      <c r="E4" s="36" t="s">
        <v>103</v>
      </c>
      <c r="F4" s="36" t="s">
        <v>104</v>
      </c>
      <c r="G4" s="46" t="s">
        <v>105</v>
      </c>
      <c r="H4" s="46" t="s">
        <v>106</v>
      </c>
      <c r="I4" s="35" t="s">
        <v>107</v>
      </c>
      <c r="J4" s="36" t="s">
        <v>108</v>
      </c>
      <c r="K4" s="36" t="s">
        <v>109</v>
      </c>
      <c r="L4" s="161" t="s">
        <v>110</v>
      </c>
      <c r="M4" s="161" t="s">
        <v>111</v>
      </c>
      <c r="N4" s="113" t="s">
        <v>112</v>
      </c>
      <c r="O4" s="113" t="s">
        <v>113</v>
      </c>
      <c r="P4" s="113" t="s">
        <v>114</v>
      </c>
      <c r="Q4" s="56" t="s">
        <v>115</v>
      </c>
      <c r="R4" s="56" t="s">
        <v>116</v>
      </c>
      <c r="S4" s="57" t="s">
        <v>117</v>
      </c>
      <c r="T4" s="57" t="s">
        <v>118</v>
      </c>
      <c r="U4" s="58" t="s">
        <v>119</v>
      </c>
      <c r="V4" s="57" t="s">
        <v>120</v>
      </c>
      <c r="W4" s="57" t="s">
        <v>121</v>
      </c>
      <c r="X4" s="59" t="s">
        <v>122</v>
      </c>
      <c r="Y4" s="15"/>
    </row>
    <row r="5" spans="1:25" ht="17.45" customHeight="1">
      <c r="B5" s="60" t="str">
        <f t="shared" ref="B5" si="0">"c"</f>
        <v>c</v>
      </c>
      <c r="C5" s="39"/>
      <c r="D5" s="70"/>
      <c r="E5" s="71"/>
      <c r="F5" s="71"/>
      <c r="G5" s="72" t="s">
        <v>123</v>
      </c>
      <c r="H5" s="72"/>
      <c r="I5" s="70"/>
      <c r="J5" s="73"/>
      <c r="K5" s="74"/>
      <c r="L5" s="162"/>
      <c r="M5" s="163"/>
      <c r="N5" s="47"/>
      <c r="O5" s="47"/>
      <c r="P5" s="47"/>
      <c r="Q5" s="49">
        <f>表格_BOM[[#This Row],[下單價 (含稅)]]/1.05</f>
        <v>0</v>
      </c>
      <c r="R5" s="49"/>
      <c r="S5" s="50"/>
      <c r="T5" s="50"/>
      <c r="U5" s="51"/>
      <c r="V5" s="51"/>
      <c r="W5" s="52"/>
      <c r="X5" s="48"/>
      <c r="Y5" s="15"/>
    </row>
    <row r="6" spans="1:25" ht="17.45" customHeight="1">
      <c r="B6" s="60" t="str">
        <f>"c"</f>
        <v>c</v>
      </c>
      <c r="C6" s="39"/>
      <c r="D6" s="41" t="s">
        <v>50</v>
      </c>
      <c r="E6" s="38" t="s">
        <v>1</v>
      </c>
      <c r="F6" s="63" t="s">
        <v>124</v>
      </c>
      <c r="G6" s="40"/>
      <c r="H6" s="40"/>
      <c r="I6" s="37"/>
      <c r="J6" s="42"/>
      <c r="K6" s="43"/>
      <c r="L6" s="164"/>
      <c r="M6" s="165"/>
      <c r="N6" s="47"/>
      <c r="O6" s="47"/>
      <c r="P6" s="47"/>
      <c r="Q6" s="49">
        <f>表格_BOM[[#This Row],[下單價 (含稅)]]/1.05</f>
        <v>0</v>
      </c>
      <c r="R6" s="49"/>
      <c r="S6" s="50"/>
      <c r="T6" s="50"/>
      <c r="U6" s="51"/>
      <c r="V6" s="51"/>
      <c r="W6" s="52"/>
      <c r="X6" s="48"/>
      <c r="Y6" s="15"/>
    </row>
    <row r="7" spans="1:25" ht="17.45" customHeight="1">
      <c r="B7" s="60" t="str">
        <f t="shared" ref="B7" si="1">"c"</f>
        <v>c</v>
      </c>
      <c r="C7" s="39"/>
      <c r="D7" s="41" t="s">
        <v>125</v>
      </c>
      <c r="E7" s="38" t="s">
        <v>1</v>
      </c>
      <c r="F7" s="63" t="s">
        <v>124</v>
      </c>
      <c r="G7" s="40"/>
      <c r="H7" s="40"/>
      <c r="I7" s="37"/>
      <c r="J7" s="42"/>
      <c r="K7" s="43"/>
      <c r="L7" s="164"/>
      <c r="M7" s="165">
        <f>表格_BOM[[#This Row],[Qty]]*表格_BOM[[#This Row],[Cost(未稅)]]</f>
        <v>0</v>
      </c>
      <c r="N7" s="47"/>
      <c r="O7" s="47"/>
      <c r="P7" s="47"/>
      <c r="Q7" s="49">
        <f>表格_BOM[[#This Row],[下單價 (含稅)]]/1.05</f>
        <v>0</v>
      </c>
      <c r="R7" s="49"/>
      <c r="S7" s="50"/>
      <c r="T7" s="50"/>
      <c r="U7" s="51"/>
      <c r="V7" s="51"/>
      <c r="W7" s="52"/>
      <c r="X7" s="48"/>
    </row>
    <row r="8" spans="1:25" ht="17.45" customHeight="1">
      <c r="B8" s="60" t="str">
        <f t="shared" ref="B8" si="2">"c"</f>
        <v>c</v>
      </c>
      <c r="C8" s="39"/>
      <c r="D8" s="70"/>
      <c r="E8" s="71"/>
      <c r="F8" s="71"/>
      <c r="G8" s="72" t="s">
        <v>126</v>
      </c>
      <c r="H8" s="72"/>
      <c r="I8" s="70"/>
      <c r="J8" s="73"/>
      <c r="K8" s="74"/>
      <c r="L8" s="162"/>
      <c r="M8" s="162"/>
      <c r="N8" s="47"/>
      <c r="O8" s="47"/>
      <c r="P8" s="47"/>
      <c r="Q8" s="49">
        <f>表格_BOM[[#This Row],[下單價 (含稅)]]/1.05</f>
        <v>0</v>
      </c>
      <c r="R8" s="49"/>
      <c r="S8" s="50"/>
      <c r="T8" s="50"/>
      <c r="U8" s="51"/>
      <c r="V8" s="51"/>
      <c r="W8" s="52"/>
      <c r="X8" s="48"/>
    </row>
    <row r="9" spans="1:25" ht="17.45" customHeight="1">
      <c r="B9" s="156" t="str">
        <f t="shared" ref="B9:B10" si="3">"c"</f>
        <v>c</v>
      </c>
      <c r="C9" s="39"/>
      <c r="D9" s="41" t="s">
        <v>125</v>
      </c>
      <c r="E9" s="38" t="s">
        <v>127</v>
      </c>
      <c r="F9" s="63" t="s">
        <v>124</v>
      </c>
      <c r="G9" s="40"/>
      <c r="H9" s="40"/>
      <c r="I9" s="37"/>
      <c r="J9" s="42"/>
      <c r="K9" s="43"/>
      <c r="L9" s="164"/>
      <c r="M9" s="165">
        <f>表格_BOM[[#This Row],[Qty]]*表格_BOM[[#This Row],[Cost(未稅)]]</f>
        <v>0</v>
      </c>
      <c r="N9" s="47"/>
      <c r="O9" s="47"/>
      <c r="P9" s="47"/>
      <c r="Q9" s="49">
        <f>表格_BOM[[#This Row],[下單價 (含稅)]]/1.05</f>
        <v>0</v>
      </c>
      <c r="R9" s="49"/>
      <c r="S9" s="50"/>
      <c r="T9" s="50"/>
      <c r="U9" s="51"/>
      <c r="V9" s="51"/>
      <c r="W9" s="52"/>
      <c r="X9" s="48"/>
    </row>
    <row r="10" spans="1:25" ht="17.45" customHeight="1">
      <c r="B10" s="60" t="str">
        <f t="shared" si="3"/>
        <v>c</v>
      </c>
      <c r="C10" s="39"/>
      <c r="D10" s="41" t="s">
        <v>125</v>
      </c>
      <c r="E10" s="38" t="s">
        <v>127</v>
      </c>
      <c r="F10" s="63" t="s">
        <v>124</v>
      </c>
      <c r="G10" s="40"/>
      <c r="H10" s="40"/>
      <c r="I10" s="37"/>
      <c r="J10" s="42"/>
      <c r="K10" s="43"/>
      <c r="L10" s="164"/>
      <c r="M10" s="165">
        <f>表格_BOM[[#This Row],[Qty]]*表格_BOM[[#This Row],[Cost(未稅)]]</f>
        <v>0</v>
      </c>
      <c r="N10" s="47"/>
      <c r="O10" s="47"/>
      <c r="P10" s="47"/>
      <c r="Q10" s="49">
        <f>表格_BOM[[#This Row],[下單價 (含稅)]]/1.05</f>
        <v>0</v>
      </c>
      <c r="R10" s="49"/>
      <c r="S10" s="50"/>
      <c r="T10" s="50"/>
      <c r="U10" s="51"/>
      <c r="V10" s="51"/>
      <c r="W10" s="52"/>
      <c r="X10" s="48"/>
    </row>
    <row r="11" spans="1:25" ht="17.45" customHeight="1">
      <c r="B11" s="60" t="str">
        <f t="shared" ref="B11:B13" si="4">"c"</f>
        <v>c</v>
      </c>
      <c r="C11" s="39"/>
      <c r="D11" s="70"/>
      <c r="E11" s="71"/>
      <c r="F11" s="71"/>
      <c r="G11" s="72" t="s">
        <v>128</v>
      </c>
      <c r="H11" s="72"/>
      <c r="I11" s="70"/>
      <c r="J11" s="73"/>
      <c r="K11" s="74"/>
      <c r="L11" s="162"/>
      <c r="M11" s="162"/>
      <c r="N11" s="47"/>
      <c r="O11" s="47"/>
      <c r="P11" s="47"/>
      <c r="Q11" s="49">
        <f>表格_BOM[[#This Row],[下單價 (含稅)]]/1.05</f>
        <v>0</v>
      </c>
      <c r="R11" s="49"/>
      <c r="S11" s="50"/>
      <c r="T11" s="50"/>
      <c r="U11" s="51"/>
      <c r="V11" s="51"/>
      <c r="W11" s="52"/>
      <c r="X11" s="48"/>
    </row>
    <row r="12" spans="1:25" ht="17.45" customHeight="1">
      <c r="B12" s="60" t="str">
        <f>"c"</f>
        <v>c</v>
      </c>
      <c r="C12" s="39"/>
      <c r="D12" s="41" t="s">
        <v>125</v>
      </c>
      <c r="E12" s="38" t="s">
        <v>65</v>
      </c>
      <c r="F12" s="63" t="s">
        <v>124</v>
      </c>
      <c r="G12" s="40"/>
      <c r="H12" s="40"/>
      <c r="I12" s="37"/>
      <c r="J12" s="42"/>
      <c r="K12" s="43"/>
      <c r="L12" s="164"/>
      <c r="M12" s="165">
        <f>表格_BOM[[#This Row],[Qty]]*表格_BOM[[#This Row],[Cost(未稅)]]</f>
        <v>0</v>
      </c>
      <c r="N12" s="47"/>
      <c r="O12" s="47"/>
      <c r="P12" s="47"/>
      <c r="Q12" s="49">
        <f>表格_BOM[[#This Row],[下單價 (含稅)]]/1.05</f>
        <v>0</v>
      </c>
      <c r="R12" s="49"/>
      <c r="S12" s="50"/>
      <c r="T12" s="50"/>
      <c r="U12" s="51"/>
      <c r="V12" s="51"/>
      <c r="W12" s="52"/>
      <c r="X12" s="48"/>
    </row>
    <row r="13" spans="1:25" ht="17.45" customHeight="1">
      <c r="B13" s="60" t="str">
        <f t="shared" si="4"/>
        <v>c</v>
      </c>
      <c r="C13" s="39"/>
      <c r="D13" s="41" t="s">
        <v>125</v>
      </c>
      <c r="E13" s="38" t="s">
        <v>65</v>
      </c>
      <c r="F13" s="63" t="s">
        <v>124</v>
      </c>
      <c r="G13" s="40"/>
      <c r="H13" s="40"/>
      <c r="I13" s="37"/>
      <c r="J13" s="42"/>
      <c r="K13" s="43"/>
      <c r="L13" s="164"/>
      <c r="M13" s="165">
        <f>表格_BOM[[#This Row],[Qty]]*表格_BOM[[#This Row],[Cost(未稅)]]</f>
        <v>0</v>
      </c>
      <c r="N13" s="47"/>
      <c r="O13" s="47"/>
      <c r="P13" s="47"/>
      <c r="Q13" s="49">
        <f>表格_BOM[[#This Row],[下單價 (含稅)]]/1.05</f>
        <v>0</v>
      </c>
      <c r="R13" s="49"/>
      <c r="S13" s="50"/>
      <c r="T13" s="50"/>
      <c r="U13" s="51"/>
      <c r="V13" s="51"/>
      <c r="W13" s="52"/>
      <c r="X13" s="48"/>
    </row>
    <row r="14" spans="1:25" ht="17.45" customHeight="1">
      <c r="B14" s="61" t="str">
        <f t="shared" ref="B14" si="5">"c"</f>
        <v>c</v>
      </c>
      <c r="C14" s="62"/>
      <c r="D14" s="75"/>
      <c r="E14" s="76"/>
      <c r="F14" s="76"/>
      <c r="G14" s="72" t="s">
        <v>129</v>
      </c>
      <c r="H14" s="72"/>
      <c r="I14" s="75"/>
      <c r="J14" s="77"/>
      <c r="K14" s="74"/>
      <c r="L14" s="162"/>
      <c r="M14" s="162"/>
      <c r="N14" s="64"/>
      <c r="O14" s="64"/>
      <c r="P14" s="64"/>
      <c r="Q14" s="65">
        <f>表格_BOM[[#This Row],[下單價 (含稅)]]/1.05</f>
        <v>0</v>
      </c>
      <c r="R14" s="65"/>
      <c r="S14" s="66"/>
      <c r="T14" s="66"/>
      <c r="U14" s="67"/>
      <c r="V14" s="67"/>
      <c r="W14" s="68"/>
      <c r="X14" s="69"/>
    </row>
    <row r="15" spans="1:25" ht="17.45" customHeight="1">
      <c r="B15" s="60" t="str">
        <f>"c"</f>
        <v>c</v>
      </c>
      <c r="C15" s="39"/>
      <c r="D15" s="41" t="s">
        <v>125</v>
      </c>
      <c r="E15" s="38" t="s">
        <v>130</v>
      </c>
      <c r="F15" s="63" t="s">
        <v>97</v>
      </c>
      <c r="G15" s="40"/>
      <c r="H15" s="40"/>
      <c r="I15" s="37"/>
      <c r="J15" s="42"/>
      <c r="K15" s="43"/>
      <c r="L15" s="164"/>
      <c r="M15" s="165">
        <f>表格_BOM[[#This Row],[Qty]]*表格_BOM[[#This Row],[Cost(未稅)]]</f>
        <v>0</v>
      </c>
      <c r="N15" s="47"/>
      <c r="O15" s="47"/>
      <c r="P15" s="47"/>
      <c r="Q15" s="49">
        <f>表格_BOM[[#This Row],[下單價 (含稅)]]/1.05</f>
        <v>0</v>
      </c>
      <c r="R15" s="49"/>
      <c r="S15" s="50"/>
      <c r="T15" s="50"/>
      <c r="U15" s="51"/>
      <c r="V15" s="51"/>
      <c r="W15" s="52"/>
      <c r="X15" s="48"/>
    </row>
    <row r="16" spans="1:25" ht="17.45" customHeight="1">
      <c r="B16" s="60" t="str">
        <f t="shared" ref="B16" si="6">"c"</f>
        <v>c</v>
      </c>
      <c r="C16" s="39"/>
      <c r="D16" s="41" t="s">
        <v>125</v>
      </c>
      <c r="E16" s="38" t="s">
        <v>130</v>
      </c>
      <c r="F16" s="63" t="s">
        <v>124</v>
      </c>
      <c r="G16" s="40"/>
      <c r="H16" s="40"/>
      <c r="I16" s="37"/>
      <c r="J16" s="42"/>
      <c r="K16" s="43"/>
      <c r="L16" s="164"/>
      <c r="M16" s="165">
        <f>表格_BOM[[#This Row],[Qty]]*表格_BOM[[#This Row],[Cost(未稅)]]</f>
        <v>0</v>
      </c>
      <c r="N16" s="47"/>
      <c r="O16" s="47"/>
      <c r="P16" s="47"/>
      <c r="Q16" s="49">
        <f>表格_BOM[[#This Row],[下單價 (含稅)]]/1.05</f>
        <v>0</v>
      </c>
      <c r="R16" s="49"/>
      <c r="S16" s="50"/>
      <c r="T16" s="50"/>
      <c r="U16" s="51"/>
      <c r="V16" s="51"/>
      <c r="W16" s="52"/>
      <c r="X16" s="48"/>
    </row>
    <row r="17" spans="2:24" ht="17.45" customHeight="1">
      <c r="B17" s="60" t="str">
        <f>"c"</f>
        <v>c</v>
      </c>
      <c r="C17" s="39"/>
      <c r="D17" s="75"/>
      <c r="E17" s="76"/>
      <c r="F17" s="76"/>
      <c r="G17" s="72" t="s">
        <v>131</v>
      </c>
      <c r="H17" s="72"/>
      <c r="I17" s="75"/>
      <c r="J17" s="73"/>
      <c r="K17" s="74"/>
      <c r="L17" s="162"/>
      <c r="M17" s="162"/>
      <c r="N17" s="47"/>
      <c r="O17" s="47"/>
      <c r="P17" s="47"/>
      <c r="Q17" s="49">
        <f>表格_BOM[[#This Row],[下單價 (含稅)]]/1.05</f>
        <v>0</v>
      </c>
      <c r="R17" s="49"/>
      <c r="S17" s="50"/>
      <c r="T17" s="50"/>
      <c r="U17" s="51"/>
      <c r="V17" s="51"/>
      <c r="W17" s="52"/>
      <c r="X17" s="48"/>
    </row>
    <row r="18" spans="2:24" ht="17.45" customHeight="1">
      <c r="B18" s="60" t="str">
        <f t="shared" ref="B18:B26" si="7">"c"</f>
        <v>c</v>
      </c>
      <c r="C18" s="39"/>
      <c r="D18" s="41" t="s">
        <v>125</v>
      </c>
      <c r="E18" s="38" t="s">
        <v>67</v>
      </c>
      <c r="F18" s="63" t="s">
        <v>124</v>
      </c>
      <c r="G18" s="40" t="s">
        <v>67</v>
      </c>
      <c r="H18" s="40"/>
      <c r="I18" s="37" t="s">
        <v>132</v>
      </c>
      <c r="J18" s="42">
        <v>0.5</v>
      </c>
      <c r="K18" s="43" t="s">
        <v>133</v>
      </c>
      <c r="L18" s="166">
        <v>4000</v>
      </c>
      <c r="M18" s="165">
        <f>表格_BOM[[#This Row],[Qty]]*表格_BOM[[#This Row],[Cost(未稅)]]</f>
        <v>2000</v>
      </c>
      <c r="N18" s="47"/>
      <c r="O18" s="47"/>
      <c r="P18" s="47"/>
      <c r="Q18" s="49">
        <f>表格_BOM[[#This Row],[下單價 (含稅)]]/1.05</f>
        <v>0</v>
      </c>
      <c r="R18" s="49"/>
      <c r="S18" s="50"/>
      <c r="T18" s="50"/>
      <c r="U18" s="51"/>
      <c r="V18" s="51"/>
      <c r="W18" s="52"/>
      <c r="X18" s="48"/>
    </row>
    <row r="19" spans="2:24" ht="17.45" customHeight="1">
      <c r="B19" s="60" t="str">
        <f t="shared" si="7"/>
        <v>c</v>
      </c>
      <c r="C19" s="39"/>
      <c r="D19" s="41" t="s">
        <v>54</v>
      </c>
      <c r="E19" s="38" t="s">
        <v>67</v>
      </c>
      <c r="F19" s="63" t="s">
        <v>124</v>
      </c>
      <c r="G19" s="40" t="s">
        <v>134</v>
      </c>
      <c r="H19" s="40"/>
      <c r="I19" s="37" t="s">
        <v>132</v>
      </c>
      <c r="J19" s="42">
        <v>0</v>
      </c>
      <c r="K19" s="43" t="s">
        <v>135</v>
      </c>
      <c r="L19" s="166">
        <v>5000</v>
      </c>
      <c r="M19" s="165">
        <f>表格_BOM[[#This Row],[Qty]]*表格_BOM[[#This Row],[Cost(未稅)]]</f>
        <v>0</v>
      </c>
      <c r="N19" s="47"/>
      <c r="O19" s="47"/>
      <c r="P19" s="47"/>
      <c r="Q19" s="49">
        <f>表格_BOM[[#This Row],[下單價 (含稅)]]/1.05</f>
        <v>0</v>
      </c>
      <c r="R19" s="49"/>
      <c r="S19" s="50"/>
      <c r="T19" s="50"/>
      <c r="U19" s="51"/>
      <c r="V19" s="51"/>
      <c r="W19" s="52"/>
      <c r="X19" s="48"/>
    </row>
    <row r="20" spans="2:24" ht="17.45" customHeight="1">
      <c r="B20" s="60" t="str">
        <f t="shared" si="7"/>
        <v>c</v>
      </c>
      <c r="C20" s="39"/>
      <c r="D20" s="41" t="s">
        <v>54</v>
      </c>
      <c r="E20" s="38" t="s">
        <v>67</v>
      </c>
      <c r="F20" s="63" t="s">
        <v>124</v>
      </c>
      <c r="G20" s="40" t="s">
        <v>136</v>
      </c>
      <c r="H20" s="40" t="s">
        <v>137</v>
      </c>
      <c r="I20" s="37" t="s">
        <v>132</v>
      </c>
      <c r="J20" s="42">
        <v>1</v>
      </c>
      <c r="K20" s="43" t="s">
        <v>135</v>
      </c>
      <c r="L20" s="166">
        <v>1000</v>
      </c>
      <c r="M20" s="165">
        <f>表格_BOM[[#This Row],[Qty]]*表格_BOM[[#This Row],[Cost(未稅)]]</f>
        <v>1000</v>
      </c>
      <c r="N20" s="47"/>
      <c r="O20" s="47"/>
      <c r="P20" s="47"/>
      <c r="Q20" s="49">
        <f>表格_BOM[[#This Row],[下單價 (含稅)]]/1.05</f>
        <v>0</v>
      </c>
      <c r="R20" s="49"/>
      <c r="S20" s="50"/>
      <c r="T20" s="50"/>
      <c r="U20" s="51"/>
      <c r="V20" s="51"/>
      <c r="W20" s="52"/>
      <c r="X20" s="48"/>
    </row>
    <row r="21" spans="2:24" ht="17.45" customHeight="1">
      <c r="B21" s="60" t="str">
        <f t="shared" si="7"/>
        <v>c</v>
      </c>
      <c r="C21" s="39"/>
      <c r="D21" s="41" t="s">
        <v>138</v>
      </c>
      <c r="E21" s="38" t="s">
        <v>67</v>
      </c>
      <c r="F21" s="63" t="s">
        <v>124</v>
      </c>
      <c r="G21" s="40" t="s">
        <v>139</v>
      </c>
      <c r="H21" s="40"/>
      <c r="I21" s="37" t="s">
        <v>140</v>
      </c>
      <c r="J21" s="42">
        <v>0</v>
      </c>
      <c r="K21" s="43" t="s">
        <v>135</v>
      </c>
      <c r="L21" s="166">
        <v>30000</v>
      </c>
      <c r="M21" s="165">
        <f>表格_BOM[[#This Row],[Qty]]*表格_BOM[[#This Row],[Cost(未稅)]]</f>
        <v>0</v>
      </c>
      <c r="N21" s="47"/>
      <c r="O21" s="47"/>
      <c r="P21" s="47"/>
      <c r="Q21" s="49">
        <f>表格_BOM[[#This Row],[下單價 (含稅)]]/1.05</f>
        <v>0</v>
      </c>
      <c r="R21" s="49"/>
      <c r="S21" s="50"/>
      <c r="T21" s="50"/>
      <c r="U21" s="51"/>
      <c r="V21" s="51"/>
      <c r="W21" s="52"/>
      <c r="X21" s="48"/>
    </row>
    <row r="22" spans="2:24" ht="17.45" customHeight="1">
      <c r="B22" s="60" t="str">
        <f t="shared" si="7"/>
        <v>c</v>
      </c>
      <c r="C22" s="39"/>
      <c r="D22" s="41" t="s">
        <v>52</v>
      </c>
      <c r="E22" s="38" t="s">
        <v>67</v>
      </c>
      <c r="F22" s="63" t="s">
        <v>124</v>
      </c>
      <c r="G22" s="40" t="s">
        <v>141</v>
      </c>
      <c r="H22" s="40" t="s">
        <v>142</v>
      </c>
      <c r="I22" s="37" t="s">
        <v>132</v>
      </c>
      <c r="J22" s="42">
        <v>0</v>
      </c>
      <c r="K22" s="43" t="s">
        <v>135</v>
      </c>
      <c r="L22" s="166">
        <v>20000</v>
      </c>
      <c r="M22" s="165">
        <f>表格_BOM[[#This Row],[Qty]]*表格_BOM[[#This Row],[Cost(未稅)]]</f>
        <v>0</v>
      </c>
      <c r="N22" s="47"/>
      <c r="O22" s="47"/>
      <c r="P22" s="47"/>
      <c r="Q22" s="49">
        <f>表格_BOM[[#This Row],[下單價 (含稅)]]/1.05</f>
        <v>0</v>
      </c>
      <c r="R22" s="49"/>
      <c r="S22" s="50"/>
      <c r="T22" s="50"/>
      <c r="U22" s="51"/>
      <c r="V22" s="51"/>
      <c r="W22" s="52"/>
      <c r="X22" s="48"/>
    </row>
    <row r="23" spans="2:24" ht="13.9">
      <c r="B23" s="60" t="str">
        <f>"c"</f>
        <v>c</v>
      </c>
      <c r="C23" s="39"/>
      <c r="D23" s="41" t="s">
        <v>49</v>
      </c>
      <c r="E23" s="38" t="s">
        <v>67</v>
      </c>
      <c r="F23" s="63" t="s">
        <v>124</v>
      </c>
      <c r="G23" s="40" t="s">
        <v>143</v>
      </c>
      <c r="H23" s="40" t="s">
        <v>144</v>
      </c>
      <c r="I23" s="37" t="s">
        <v>132</v>
      </c>
      <c r="J23" s="42">
        <v>0</v>
      </c>
      <c r="K23" s="43" t="s">
        <v>135</v>
      </c>
      <c r="L23" s="166">
        <f>SUM($M$5:M21)*3%</f>
        <v>90</v>
      </c>
      <c r="M23" s="165">
        <f>表格_BOM[[#This Row],[Qty]]*表格_BOM[[#This Row],[Cost(未稅)]]</f>
        <v>0</v>
      </c>
      <c r="N23" s="47"/>
      <c r="O23" s="47"/>
      <c r="P23" s="47"/>
      <c r="Q23" s="49">
        <f>表格_BOM[[#This Row],[下單價 (含稅)]]/1.05</f>
        <v>0</v>
      </c>
      <c r="R23" s="49"/>
      <c r="S23" s="50"/>
      <c r="T23" s="50"/>
      <c r="U23" s="51"/>
      <c r="V23" s="51"/>
      <c r="W23" s="52"/>
      <c r="X23" s="48"/>
    </row>
    <row r="24" spans="2:24" ht="17.45" customHeight="1">
      <c r="B24" s="60" t="str">
        <f t="shared" si="7"/>
        <v>c</v>
      </c>
      <c r="C24" s="39"/>
      <c r="D24" s="41" t="s">
        <v>145</v>
      </c>
      <c r="E24" s="38" t="s">
        <v>67</v>
      </c>
      <c r="F24" s="63" t="s">
        <v>124</v>
      </c>
      <c r="G24" s="40" t="s">
        <v>146</v>
      </c>
      <c r="H24" s="40" t="s">
        <v>147</v>
      </c>
      <c r="I24" s="37" t="s">
        <v>132</v>
      </c>
      <c r="J24" s="42">
        <v>1</v>
      </c>
      <c r="K24" s="43" t="s">
        <v>148</v>
      </c>
      <c r="L24" s="166">
        <f>SUM($M$5:M23)*1%</f>
        <v>30</v>
      </c>
      <c r="M24" s="165">
        <f>表格_BOM[[#This Row],[Qty]]*表格_BOM[[#This Row],[Cost(未稅)]]</f>
        <v>30</v>
      </c>
      <c r="N24" s="47"/>
      <c r="O24" s="47"/>
      <c r="P24" s="47"/>
      <c r="Q24" s="49">
        <f>表格_BOM[[#This Row],[下單價 (含稅)]]/1.05</f>
        <v>0</v>
      </c>
      <c r="R24" s="49"/>
      <c r="S24" s="50"/>
      <c r="T24" s="50"/>
      <c r="U24" s="51"/>
      <c r="V24" s="51"/>
      <c r="W24" s="52"/>
      <c r="X24" s="48"/>
    </row>
    <row r="25" spans="2:24" ht="13.9">
      <c r="B25" s="60" t="str">
        <f>"c"</f>
        <v>c</v>
      </c>
      <c r="C25" s="39"/>
      <c r="D25" s="41" t="s">
        <v>60</v>
      </c>
      <c r="E25" s="38" t="s">
        <v>67</v>
      </c>
      <c r="F25" s="63" t="s">
        <v>124</v>
      </c>
      <c r="G25" s="40" t="s">
        <v>149</v>
      </c>
      <c r="H25" s="40" t="s">
        <v>150</v>
      </c>
      <c r="I25" s="37" t="s">
        <v>132</v>
      </c>
      <c r="J25" s="42">
        <v>1</v>
      </c>
      <c r="K25" s="43" t="s">
        <v>135</v>
      </c>
      <c r="L25" s="166">
        <v>0</v>
      </c>
      <c r="M25" s="165">
        <f>表格_BOM[[#This Row],[Qty]]*表格_BOM[[#This Row],[Cost(未稅)]]</f>
        <v>0</v>
      </c>
      <c r="N25" s="47"/>
      <c r="O25" s="47"/>
      <c r="P25" s="47"/>
      <c r="Q25" s="49">
        <f>表格_BOM[[#This Row],[下單價 (含稅)]]/1.05</f>
        <v>0</v>
      </c>
      <c r="R25" s="49"/>
      <c r="S25" s="50"/>
      <c r="T25" s="50"/>
      <c r="U25" s="51"/>
      <c r="V25" s="51"/>
      <c r="W25" s="52"/>
      <c r="X25" s="48"/>
    </row>
    <row r="26" spans="2:24" ht="17.45" customHeight="1">
      <c r="B26" s="60" t="str">
        <f t="shared" si="7"/>
        <v>c</v>
      </c>
      <c r="C26" s="39"/>
      <c r="D26" s="41" t="s">
        <v>151</v>
      </c>
      <c r="E26" s="38" t="s">
        <v>67</v>
      </c>
      <c r="F26" s="63" t="s">
        <v>124</v>
      </c>
      <c r="G26" s="40" t="s">
        <v>59</v>
      </c>
      <c r="H26" s="40" t="s">
        <v>152</v>
      </c>
      <c r="I26" s="37" t="s">
        <v>132</v>
      </c>
      <c r="J26" s="42">
        <v>1</v>
      </c>
      <c r="K26" s="43" t="s">
        <v>135</v>
      </c>
      <c r="L26" s="166">
        <f>SUM($M$5:M24)*12%</f>
        <v>363.59999999999997</v>
      </c>
      <c r="M26" s="165">
        <f>表格_BOM[[#This Row],[Qty]]*表格_BOM[[#This Row],[Cost(未稅)]]</f>
        <v>363.59999999999997</v>
      </c>
      <c r="N26" s="47"/>
      <c r="O26" s="47"/>
      <c r="P26" s="47"/>
      <c r="Q26" s="49">
        <f>表格_BOM[[#This Row],[下單價 (含稅)]]/1.05</f>
        <v>0</v>
      </c>
      <c r="R26" s="49"/>
      <c r="S26" s="50"/>
      <c r="T26" s="50"/>
      <c r="U26" s="51"/>
      <c r="V26" s="51"/>
      <c r="W26" s="52"/>
      <c r="X26" s="48"/>
    </row>
    <row r="27" spans="2:24" ht="17.45" customHeight="1">
      <c r="B27" s="60" t="str">
        <f t="shared" ref="B27:B34" si="8">"c"</f>
        <v>c</v>
      </c>
      <c r="C27" s="39"/>
      <c r="D27" s="107"/>
      <c r="E27" s="108"/>
      <c r="F27" s="108"/>
      <c r="G27" s="112" t="s">
        <v>153</v>
      </c>
      <c r="H27" s="109"/>
      <c r="I27" s="107"/>
      <c r="J27" s="110"/>
      <c r="K27" s="111"/>
      <c r="L27" s="167"/>
      <c r="M27" s="167"/>
      <c r="N27" s="47"/>
      <c r="O27" s="47"/>
      <c r="P27" s="47"/>
      <c r="Q27" s="49">
        <f>表格_BOM[[#This Row],[下單價 (含稅)]]/1.05</f>
        <v>0</v>
      </c>
      <c r="R27" s="49"/>
      <c r="S27" s="50"/>
      <c r="T27" s="50"/>
      <c r="U27" s="51"/>
      <c r="V27" s="51"/>
      <c r="W27" s="52"/>
      <c r="X27" s="48"/>
    </row>
    <row r="28" spans="2:24" ht="21" customHeight="1">
      <c r="B28" s="60" t="str">
        <f t="shared" si="8"/>
        <v>c</v>
      </c>
      <c r="C28" s="39"/>
      <c r="D28" s="41"/>
      <c r="E28" s="38"/>
      <c r="F28" s="63" t="s">
        <v>154</v>
      </c>
      <c r="G28" s="40"/>
      <c r="H28" s="40"/>
      <c r="I28" s="37"/>
      <c r="J28" s="42"/>
      <c r="K28" s="43"/>
      <c r="L28" s="164"/>
      <c r="M28" s="165">
        <f>表格_BOM[[#This Row],[Qty]]*表格_BOM[[#This Row],[Cost(未稅)]]</f>
        <v>0</v>
      </c>
      <c r="N28" s="47"/>
      <c r="O28" s="47"/>
      <c r="P28" s="47"/>
      <c r="Q28" s="49">
        <f>表格_BOM[[#This Row],[下單價 (含稅)]]/1.05</f>
        <v>0</v>
      </c>
      <c r="R28" s="49"/>
      <c r="S28" s="50"/>
      <c r="T28" s="50"/>
      <c r="U28" s="51"/>
      <c r="V28" s="51"/>
      <c r="W28" s="52"/>
      <c r="X28" s="48"/>
    </row>
    <row r="29" spans="2:24" ht="17.45" customHeight="1">
      <c r="B29" s="60" t="str">
        <f t="shared" ref="B29:B31" si="9">"c"</f>
        <v>c</v>
      </c>
      <c r="C29" s="39"/>
      <c r="D29" s="41"/>
      <c r="E29" s="38"/>
      <c r="F29" s="63" t="s">
        <v>154</v>
      </c>
      <c r="G29" s="40"/>
      <c r="H29" s="40"/>
      <c r="I29" s="37"/>
      <c r="J29" s="42"/>
      <c r="K29" s="43"/>
      <c r="L29" s="164"/>
      <c r="M29" s="165">
        <f>表格_BOM[[#This Row],[Qty]]*表格_BOM[[#This Row],[Cost(未稅)]]</f>
        <v>0</v>
      </c>
      <c r="N29" s="47"/>
      <c r="O29" s="47"/>
      <c r="P29" s="47"/>
      <c r="Q29" s="49">
        <f>表格_BOM[[#This Row],[下單價 (含稅)]]/1.05</f>
        <v>0</v>
      </c>
      <c r="R29" s="49"/>
      <c r="S29" s="50"/>
      <c r="T29" s="50"/>
      <c r="U29" s="51"/>
      <c r="V29" s="51"/>
      <c r="W29" s="52"/>
      <c r="X29" s="48"/>
    </row>
    <row r="30" spans="2:24" ht="17.45" customHeight="1">
      <c r="B30" s="60" t="str">
        <f t="shared" si="9"/>
        <v>c</v>
      </c>
      <c r="C30" s="39"/>
      <c r="D30" s="41"/>
      <c r="E30" s="38"/>
      <c r="F30" s="63" t="s">
        <v>154</v>
      </c>
      <c r="G30" s="40"/>
      <c r="H30" s="40"/>
      <c r="I30" s="37"/>
      <c r="J30" s="42"/>
      <c r="K30" s="43"/>
      <c r="L30" s="164"/>
      <c r="M30" s="165">
        <f>表格_BOM[[#This Row],[Qty]]*表格_BOM[[#This Row],[Cost(未稅)]]</f>
        <v>0</v>
      </c>
      <c r="N30" s="47"/>
      <c r="O30" s="47"/>
      <c r="P30" s="47"/>
      <c r="Q30" s="49">
        <f>表格_BOM[[#This Row],[下單價 (含稅)]]/1.05</f>
        <v>0</v>
      </c>
      <c r="R30" s="49"/>
      <c r="S30" s="50"/>
      <c r="T30" s="50"/>
      <c r="U30" s="51"/>
      <c r="V30" s="51"/>
      <c r="W30" s="52"/>
      <c r="X30" s="48"/>
    </row>
    <row r="31" spans="2:24" ht="17.45" customHeight="1">
      <c r="B31" s="60" t="str">
        <f t="shared" si="9"/>
        <v>c</v>
      </c>
      <c r="C31" s="39"/>
      <c r="D31" s="41"/>
      <c r="E31" s="38"/>
      <c r="F31" s="63" t="s">
        <v>154</v>
      </c>
      <c r="G31" s="40"/>
      <c r="H31" s="40"/>
      <c r="I31" s="37"/>
      <c r="J31" s="42"/>
      <c r="K31" s="43"/>
      <c r="L31" s="164"/>
      <c r="M31" s="165">
        <f>表格_BOM[[#This Row],[Qty]]*表格_BOM[[#This Row],[Cost(未稅)]]</f>
        <v>0</v>
      </c>
      <c r="N31" s="47"/>
      <c r="O31" s="47"/>
      <c r="P31" s="47"/>
      <c r="Q31" s="49">
        <f>表格_BOM[[#This Row],[下單價 (含稅)]]/1.05</f>
        <v>0</v>
      </c>
      <c r="R31" s="49"/>
      <c r="S31" s="50"/>
      <c r="T31" s="50"/>
      <c r="U31" s="51"/>
      <c r="V31" s="51"/>
      <c r="W31" s="52"/>
      <c r="X31" s="48"/>
    </row>
    <row r="32" spans="2:24" ht="17.45" customHeight="1">
      <c r="B32" s="60" t="str">
        <f>"c"</f>
        <v>c</v>
      </c>
      <c r="C32" s="39"/>
      <c r="D32" s="41"/>
      <c r="E32" s="38"/>
      <c r="F32" s="63" t="s">
        <v>154</v>
      </c>
      <c r="G32" s="40"/>
      <c r="H32" s="40"/>
      <c r="I32" s="37"/>
      <c r="J32" s="42"/>
      <c r="K32" s="43"/>
      <c r="L32" s="164"/>
      <c r="M32" s="165">
        <f>表格_BOM[[#This Row],[Qty]]*表格_BOM[[#This Row],[Cost(未稅)]]</f>
        <v>0</v>
      </c>
      <c r="N32" s="47"/>
      <c r="O32" s="47"/>
      <c r="P32" s="47"/>
      <c r="Q32" s="49">
        <f>表格_BOM[[#This Row],[下單價 (含稅)]]/1.05</f>
        <v>0</v>
      </c>
      <c r="R32" s="49"/>
      <c r="S32" s="50"/>
      <c r="T32" s="50"/>
      <c r="U32" s="51"/>
      <c r="V32" s="51"/>
      <c r="W32" s="52"/>
      <c r="X32" s="48"/>
    </row>
    <row r="33" spans="2:24" ht="17.45" customHeight="1">
      <c r="B33" s="60" t="str">
        <f>"c"</f>
        <v>c</v>
      </c>
      <c r="C33" s="39"/>
      <c r="D33" s="41"/>
      <c r="E33" s="38"/>
      <c r="F33" s="63" t="s">
        <v>154</v>
      </c>
      <c r="G33" s="40"/>
      <c r="H33" s="40"/>
      <c r="I33" s="37"/>
      <c r="J33" s="42"/>
      <c r="K33" s="43"/>
      <c r="L33" s="164"/>
      <c r="M33" s="165">
        <f>表格_BOM[[#This Row],[Qty]]*表格_BOM[[#This Row],[Cost(未稅)]]</f>
        <v>0</v>
      </c>
      <c r="N33" s="47"/>
      <c r="O33" s="47"/>
      <c r="P33" s="47"/>
      <c r="Q33" s="49">
        <f>表格_BOM[[#This Row],[下單價 (含稅)]]/1.05</f>
        <v>0</v>
      </c>
      <c r="R33" s="49"/>
      <c r="S33" s="50"/>
      <c r="T33" s="50"/>
      <c r="U33" s="51"/>
      <c r="V33" s="51"/>
      <c r="W33" s="52"/>
      <c r="X33" s="48"/>
    </row>
    <row r="34" spans="2:24" ht="17.45" customHeight="1">
      <c r="B34" s="60" t="str">
        <f t="shared" si="8"/>
        <v>c</v>
      </c>
      <c r="C34" s="39"/>
      <c r="D34" s="41"/>
      <c r="E34" s="38"/>
      <c r="F34" s="63" t="s">
        <v>154</v>
      </c>
      <c r="G34" s="40"/>
      <c r="H34" s="40"/>
      <c r="I34" s="37"/>
      <c r="J34" s="42"/>
      <c r="K34" s="43"/>
      <c r="L34" s="164"/>
      <c r="M34" s="165">
        <f>表格_BOM[[#This Row],[Qty]]*表格_BOM[[#This Row],[Cost(未稅)]]</f>
        <v>0</v>
      </c>
      <c r="N34" s="47"/>
      <c r="O34" s="47"/>
      <c r="P34" s="47"/>
      <c r="Q34" s="49">
        <f>表格_BOM[[#This Row],[下單價 (含稅)]]/1.05</f>
        <v>0</v>
      </c>
      <c r="R34" s="49"/>
      <c r="S34" s="50"/>
      <c r="T34" s="50"/>
      <c r="U34" s="51"/>
      <c r="V34" s="51"/>
      <c r="W34" s="52"/>
      <c r="X34" s="48"/>
    </row>
    <row r="35" spans="2:24" ht="17.45" customHeight="1">
      <c r="B35" s="60" t="str">
        <f>"c"</f>
        <v>c</v>
      </c>
      <c r="C35" s="39"/>
      <c r="D35" s="107"/>
      <c r="E35" s="108"/>
      <c r="F35" s="108"/>
      <c r="G35" s="112" t="s">
        <v>155</v>
      </c>
      <c r="H35" s="109"/>
      <c r="I35" s="107"/>
      <c r="J35" s="110"/>
      <c r="K35" s="111"/>
      <c r="L35" s="167"/>
      <c r="M35" s="167"/>
      <c r="N35" s="47"/>
      <c r="O35" s="47"/>
      <c r="P35" s="47"/>
      <c r="Q35" s="49">
        <f>表格_BOM[[#This Row],[下單價 (含稅)]]/1.05</f>
        <v>0</v>
      </c>
      <c r="R35" s="49"/>
      <c r="S35" s="50"/>
      <c r="T35" s="50"/>
      <c r="U35" s="51"/>
      <c r="V35" s="51"/>
      <c r="W35" s="52"/>
      <c r="X35" s="48"/>
    </row>
    <row r="36" spans="2:24" ht="17.45" customHeight="1">
      <c r="B36" s="60" t="str">
        <f>"c"</f>
        <v>c</v>
      </c>
      <c r="C36" s="39"/>
      <c r="D36" s="41"/>
      <c r="E36" s="38"/>
      <c r="F36" s="63" t="s">
        <v>156</v>
      </c>
      <c r="G36" s="40"/>
      <c r="H36" s="40"/>
      <c r="I36" s="37"/>
      <c r="J36" s="42"/>
      <c r="K36" s="43"/>
      <c r="L36" s="164"/>
      <c r="M36" s="165">
        <f>表格_BOM[[#This Row],[Qty]]*表格_BOM[[#This Row],[Cost(未稅)]]</f>
        <v>0</v>
      </c>
      <c r="N36" s="47"/>
      <c r="O36" s="47"/>
      <c r="P36" s="47"/>
      <c r="Q36" s="49">
        <f>表格_BOM[[#This Row],[下單價 (含稅)]]/1.05</f>
        <v>0</v>
      </c>
      <c r="R36" s="49"/>
      <c r="S36" s="50"/>
      <c r="T36" s="50"/>
      <c r="U36" s="51"/>
      <c r="V36" s="51"/>
      <c r="W36" s="52"/>
      <c r="X36" s="48"/>
    </row>
    <row r="37" spans="2:24" ht="17.45" customHeight="1">
      <c r="B37" s="60" t="str">
        <f t="shared" ref="B37:B39" si="10">"c"</f>
        <v>c</v>
      </c>
      <c r="C37" s="39"/>
      <c r="D37" s="41"/>
      <c r="E37" s="38"/>
      <c r="F37" s="63" t="s">
        <v>156</v>
      </c>
      <c r="G37" s="40"/>
      <c r="H37" s="40"/>
      <c r="I37" s="37"/>
      <c r="J37" s="42"/>
      <c r="K37" s="43"/>
      <c r="L37" s="164"/>
      <c r="M37" s="165">
        <f>表格_BOM[[#This Row],[Qty]]*表格_BOM[[#This Row],[Cost(未稅)]]</f>
        <v>0</v>
      </c>
      <c r="N37" s="47"/>
      <c r="O37" s="47"/>
      <c r="P37" s="47"/>
      <c r="Q37" s="49">
        <f>表格_BOM[[#This Row],[下單價 (含稅)]]/1.05</f>
        <v>0</v>
      </c>
      <c r="R37" s="49"/>
      <c r="S37" s="50"/>
      <c r="T37" s="50"/>
      <c r="U37" s="51"/>
      <c r="V37" s="51"/>
      <c r="W37" s="52"/>
      <c r="X37" s="48"/>
    </row>
    <row r="38" spans="2:24" ht="17.45" customHeight="1">
      <c r="B38" s="60" t="str">
        <f t="shared" si="10"/>
        <v>c</v>
      </c>
      <c r="C38" s="39"/>
      <c r="D38" s="41"/>
      <c r="E38" s="38"/>
      <c r="F38" s="63" t="s">
        <v>156</v>
      </c>
      <c r="G38" s="40"/>
      <c r="H38" s="40"/>
      <c r="I38" s="37"/>
      <c r="J38" s="42"/>
      <c r="K38" s="43"/>
      <c r="L38" s="164"/>
      <c r="M38" s="165">
        <f>表格_BOM[[#This Row],[Qty]]*表格_BOM[[#This Row],[Cost(未稅)]]</f>
        <v>0</v>
      </c>
      <c r="N38" s="47"/>
      <c r="O38" s="47"/>
      <c r="P38" s="47"/>
      <c r="Q38" s="49">
        <f>表格_BOM[[#This Row],[下單價 (含稅)]]/1.05</f>
        <v>0</v>
      </c>
      <c r="R38" s="49"/>
      <c r="S38" s="50"/>
      <c r="T38" s="50"/>
      <c r="U38" s="51"/>
      <c r="V38" s="51"/>
      <c r="W38" s="52"/>
      <c r="X38" s="48"/>
    </row>
    <row r="39" spans="2:24" ht="17.45" customHeight="1">
      <c r="B39" s="60" t="str">
        <f t="shared" si="10"/>
        <v>c</v>
      </c>
      <c r="C39" s="39"/>
      <c r="D39" s="41"/>
      <c r="E39" s="38"/>
      <c r="F39" s="63" t="s">
        <v>156</v>
      </c>
      <c r="G39" s="40"/>
      <c r="H39" s="40"/>
      <c r="I39" s="37"/>
      <c r="J39" s="42"/>
      <c r="K39" s="43"/>
      <c r="L39" s="164"/>
      <c r="M39" s="165"/>
      <c r="N39" s="47"/>
      <c r="O39" s="47"/>
      <c r="P39" s="47"/>
      <c r="Q39" s="49">
        <f>表格_BOM[[#This Row],[下單價 (含稅)]]/1.05</f>
        <v>0</v>
      </c>
      <c r="R39" s="49"/>
      <c r="S39" s="50"/>
      <c r="T39" s="50"/>
      <c r="U39" s="51"/>
      <c r="V39" s="51"/>
      <c r="W39" s="52"/>
      <c r="X39" s="48"/>
    </row>
    <row r="40" spans="2:24" ht="17.45" customHeight="1">
      <c r="B40" s="60" t="str">
        <f>"c"</f>
        <v>c</v>
      </c>
      <c r="C40" s="39"/>
      <c r="D40" s="41"/>
      <c r="E40" s="38"/>
      <c r="F40" s="63"/>
      <c r="G40" s="40"/>
      <c r="H40" s="40"/>
      <c r="I40" s="37"/>
      <c r="J40" s="42"/>
      <c r="K40" s="43"/>
      <c r="L40" s="164"/>
      <c r="M40" s="165">
        <f>表格_BOM[[#This Row],[Qty]]*表格_BOM[[#This Row],[Cost(未稅)]]</f>
        <v>0</v>
      </c>
      <c r="N40" s="47"/>
      <c r="O40" s="47"/>
      <c r="P40" s="47"/>
      <c r="Q40" s="49">
        <f>表格_BOM[[#This Row],[下單價 (含稅)]]/1.05</f>
        <v>0</v>
      </c>
      <c r="R40" s="49"/>
      <c r="S40" s="50"/>
      <c r="T40" s="50"/>
      <c r="U40" s="51"/>
      <c r="V40" s="51"/>
      <c r="W40" s="52"/>
      <c r="X40" s="48"/>
    </row>
    <row r="41" spans="2:24" ht="17.45" customHeight="1">
      <c r="B41" s="60" t="str">
        <f>"c"</f>
        <v>c</v>
      </c>
      <c r="C41" s="39"/>
      <c r="D41" s="120"/>
      <c r="E41" s="121"/>
      <c r="F41" s="121"/>
      <c r="G41" s="122" t="s">
        <v>157</v>
      </c>
      <c r="H41" s="123"/>
      <c r="I41" s="120"/>
      <c r="J41" s="124"/>
      <c r="K41" s="125"/>
      <c r="L41" s="168"/>
      <c r="M41" s="168"/>
      <c r="N41" s="47"/>
      <c r="O41" s="47"/>
      <c r="P41" s="47"/>
      <c r="Q41" s="49">
        <f>表格_BOM[[#This Row],[下單價 (含稅)]]/1.05</f>
        <v>0</v>
      </c>
      <c r="R41" s="49"/>
      <c r="S41" s="50"/>
      <c r="T41" s="50"/>
      <c r="U41" s="51"/>
      <c r="V41" s="51"/>
      <c r="W41" s="52"/>
      <c r="X41" s="48"/>
    </row>
    <row r="42" spans="2:24" ht="17.45" customHeight="1">
      <c r="B42" s="60" t="str">
        <f>"c"</f>
        <v>c</v>
      </c>
      <c r="C42" s="39"/>
      <c r="D42" s="41" t="s">
        <v>60</v>
      </c>
      <c r="E42" s="38"/>
      <c r="F42" s="63" t="s">
        <v>154</v>
      </c>
      <c r="G42" s="40"/>
      <c r="H42" s="40"/>
      <c r="I42" s="37"/>
      <c r="J42" s="42"/>
      <c r="K42" s="43"/>
      <c r="L42" s="164"/>
      <c r="M42" s="165">
        <f>表格_BOM[[#This Row],[Qty]]*表格_BOM[[#This Row],[Cost(未稅)]]</f>
        <v>0</v>
      </c>
      <c r="N42" s="47"/>
      <c r="O42" s="47"/>
      <c r="P42" s="47"/>
      <c r="Q42" s="49">
        <f>表格_BOM[[#This Row],[下單價 (含稅)]]/1.05</f>
        <v>0</v>
      </c>
      <c r="R42" s="49"/>
      <c r="S42" s="50"/>
      <c r="T42" s="50"/>
      <c r="U42" s="51"/>
      <c r="V42" s="51"/>
      <c r="W42" s="52"/>
      <c r="X42" s="48"/>
    </row>
    <row r="43" spans="2:24" ht="17.45" customHeight="1">
      <c r="B43" s="60" t="str">
        <f>"c"</f>
        <v>c</v>
      </c>
      <c r="C43" s="39"/>
      <c r="D43" s="41" t="s">
        <v>60</v>
      </c>
      <c r="E43" s="38"/>
      <c r="F43" s="63" t="s">
        <v>154</v>
      </c>
      <c r="G43" s="40"/>
      <c r="H43" s="118"/>
      <c r="I43" s="37"/>
      <c r="J43" s="42"/>
      <c r="K43" s="171"/>
      <c r="L43" s="164"/>
      <c r="M43" s="165">
        <f>表格_BOM[[#This Row],[Qty]]*表格_BOM[[#This Row],[Cost(未稅)]]</f>
        <v>0</v>
      </c>
      <c r="N43" s="47"/>
      <c r="O43" s="47"/>
      <c r="P43" s="47"/>
      <c r="Q43" s="49">
        <f>表格_BOM[[#This Row],[下單價 (含稅)]]/1.05</f>
        <v>0</v>
      </c>
      <c r="R43" s="49"/>
      <c r="S43" s="50"/>
      <c r="T43" s="50"/>
      <c r="U43" s="51"/>
      <c r="V43" s="51"/>
      <c r="W43" s="52"/>
      <c r="X43" s="48"/>
    </row>
    <row r="44" spans="2:24" ht="21" customHeight="1">
      <c r="B44"/>
      <c r="C44"/>
      <c r="D44"/>
      <c r="E44"/>
      <c r="F44"/>
      <c r="G44"/>
      <c r="H44" s="119"/>
      <c r="I44"/>
      <c r="J44"/>
      <c r="K44"/>
      <c r="L44" s="169" t="s">
        <v>158</v>
      </c>
      <c r="M44" s="170">
        <f>SUBTOTAL(109,表格_BOM[Total Cost])</f>
        <v>3393.6</v>
      </c>
      <c r="N44"/>
      <c r="O44"/>
      <c r="P44"/>
      <c r="Q44"/>
      <c r="R44"/>
      <c r="S44"/>
      <c r="T44"/>
      <c r="U44"/>
      <c r="V44"/>
      <c r="W44"/>
      <c r="X44"/>
    </row>
  </sheetData>
  <mergeCells count="1">
    <mergeCell ref="B2:M2"/>
  </mergeCells>
  <phoneticPr fontId="8" type="noConversion"/>
  <dataValidations count="8">
    <dataValidation type="list" allowBlank="1" showInputMessage="1" showErrorMessage="1" sqref="E5:E43" xr:uid="{97AD75AF-40F6-44C8-AB0B-905E4D02632A}">
      <formula1>標籤_群組分類項目</formula1>
    </dataValidation>
    <dataValidation type="list" allowBlank="1" showInputMessage="1" showErrorMessage="1" sqref="D5:D43" xr:uid="{C2CB7C62-47BA-44CA-94FF-F4CF0E03421B}">
      <formula1>標籤_直接成本項目</formula1>
    </dataValidation>
    <dataValidation type="list" allowBlank="1" showInputMessage="1" showErrorMessage="1" sqref="I5:I43" xr:uid="{3E287D00-E5E8-4ADC-90E3-6F4BD22E9AFF}">
      <formula1>標籤_廠商分類</formula1>
    </dataValidation>
    <dataValidation type="list" allowBlank="1" showInputMessage="1" showErrorMessage="1" sqref="F5:F43" xr:uid="{AC96EB60-9C0E-324F-B3FE-6671FC852476}">
      <formula1>標籤_本案及追加分析</formula1>
    </dataValidation>
    <dataValidation type="list" allowBlank="1" showInputMessage="1" showErrorMessage="1" sqref="K8 K11 K17" xr:uid="{BA546D0F-8218-4C98-8461-D53B4B2B47C2}">
      <formula1>"天,年,M,式"</formula1>
    </dataValidation>
    <dataValidation type="list" allowBlank="1" showInputMessage="1" showErrorMessage="1" sqref="K6:K7 K9:K10 K12:K13 K15:K16 K28:K34 K36:K40 K42 K19:K26" xr:uid="{AB418EEF-97FF-43B1-B80E-CEF1A0FFD779}">
      <formula1>"天,年,M,式,pcs,hr"</formula1>
    </dataValidation>
    <dataValidation type="list" allowBlank="1" showInputMessage="1" showErrorMessage="1" sqref="K14" xr:uid="{A33B7806-4C57-4BC7-9A60-07A1122F8B05}">
      <formula1>"天,年,M,式,時"</formula1>
    </dataValidation>
    <dataValidation type="list" allowBlank="1" showInputMessage="1" showErrorMessage="1" sqref="K18" xr:uid="{23F2139F-6565-4965-A056-E719C6AC8299}">
      <formula1>"天,年,M,式,pcs,H"</formula1>
    </dataValidation>
  </dataValidations>
  <printOptions horizontalCentered="1"/>
  <pageMargins left="0.2" right="0.2" top="0.2" bottom="0.2" header="0" footer="0"/>
  <pageSetup paperSize="9" scale="60" fitToHeight="0" orientation="landscape" r:id="rId1"/>
  <headerFooter differentFirst="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1B3FF-F72B-6A4E-964A-86A029A9B3D6}">
  <sheetPr>
    <tabColor rgb="FF00B050"/>
  </sheetPr>
  <dimension ref="A1:L74"/>
  <sheetViews>
    <sheetView zoomScale="120" zoomScaleNormal="120" workbookViewId="0">
      <pane ySplit="3" topLeftCell="A4" activePane="bottomLeft" state="frozen"/>
      <selection pane="bottomLeft" activeCell="K11" sqref="K11"/>
    </sheetView>
  </sheetViews>
  <sheetFormatPr defaultColWidth="9" defaultRowHeight="18"/>
  <cols>
    <col min="1" max="1" width="22.5" style="126" bestFit="1" customWidth="1"/>
    <col min="2" max="2" width="19.140625" style="126" bestFit="1" customWidth="1"/>
    <col min="3" max="3" width="13.640625" style="141" bestFit="1" customWidth="1"/>
    <col min="4" max="4" width="19.140625" style="126" bestFit="1" customWidth="1"/>
    <col min="5" max="5" width="13.640625" style="126" bestFit="1" customWidth="1"/>
    <col min="6" max="6" width="20.35546875" style="126" bestFit="1" customWidth="1"/>
    <col min="7" max="7" width="4.140625" style="126" customWidth="1"/>
    <col min="8" max="8" width="17.35546875" style="126" bestFit="1" customWidth="1"/>
    <col min="9" max="9" width="21.2109375" style="126" customWidth="1"/>
    <col min="10" max="10" width="2.85546875" style="126" customWidth="1"/>
    <col min="11" max="11" width="11.35546875" style="126" bestFit="1" customWidth="1"/>
    <col min="12" max="12" width="17.35546875" style="126" bestFit="1" customWidth="1"/>
    <col min="13" max="16384" width="9" style="126"/>
  </cols>
  <sheetData>
    <row r="1" spans="1:12" ht="30.75">
      <c r="A1" s="176" t="str">
        <f>'01參數設定'!$B$4&amp;"報價分析表(預算"&amp;'01參數設定'!$B$5&amp;")"</f>
        <v>報價分析表(預算1000000)</v>
      </c>
      <c r="B1" s="176"/>
      <c r="C1" s="176"/>
      <c r="D1" s="176"/>
      <c r="E1" s="176"/>
      <c r="F1" s="176"/>
      <c r="H1" s="127" t="s">
        <v>159</v>
      </c>
      <c r="I1" s="128">
        <f>表格_科目分類價格[[#Totals],[專案成本]]</f>
        <v>3393.6</v>
      </c>
      <c r="J1" s="129"/>
      <c r="K1" s="127" t="s">
        <v>160</v>
      </c>
      <c r="L1" s="128">
        <f>'03 成本統計表'!F3+'03 成本統計表'!F14+'03 成本統計表'!F13</f>
        <v>2363.6</v>
      </c>
    </row>
    <row r="2" spans="1:12">
      <c r="A2" s="130" t="s">
        <v>161</v>
      </c>
      <c r="B2" s="130" t="s">
        <v>162</v>
      </c>
      <c r="C2" s="130" t="s">
        <v>163</v>
      </c>
      <c r="D2" s="130" t="s">
        <v>164</v>
      </c>
      <c r="E2" s="130" t="s">
        <v>165</v>
      </c>
      <c r="F2" s="131" t="s">
        <v>166</v>
      </c>
      <c r="H2" s="127" t="s">
        <v>167</v>
      </c>
      <c r="I2" s="128">
        <f>SUM('03 成本統計表'!$F$4:$F$12)+'03 成本統計表'!$F$15</f>
        <v>1030</v>
      </c>
      <c r="J2" s="129"/>
      <c r="K2" s="129"/>
      <c r="L2" s="129"/>
    </row>
    <row r="3" spans="1:12">
      <c r="A3" s="114">
        <f>10000000</f>
        <v>10000000</v>
      </c>
      <c r="B3" s="114">
        <f>表格_報價分析表[[#This Row],[報價金額(未稅)]]-表格_BOM[[#Totals],[Total Cost]]</f>
        <v>9996606.4000000004</v>
      </c>
      <c r="C3" s="115">
        <f>表格_報價分析表[[#This Row],[利潤]]/表格_報價分析表[[#This Row],[報價金額(未稅)]]</f>
        <v>0.99966063999999999</v>
      </c>
      <c r="D3" s="114">
        <f>表格_報價分析表[[#This Row],[報價金額(未稅)]]-表格_BOM[[#Totals],[Total Cost]]+'03 成本統計表'!$F$3+'03 成本統計表'!$F$14</f>
        <v>9998970</v>
      </c>
      <c r="E3" s="116">
        <f>(D3)/表格_報價分析表[[#This Row],[報價金額(未稅)]]</f>
        <v>0.99989700000000004</v>
      </c>
      <c r="F3" s="117" t="s">
        <v>168</v>
      </c>
      <c r="G3" s="132"/>
      <c r="H3" s="133"/>
    </row>
    <row r="4" spans="1:12">
      <c r="A4" s="134">
        <f>表格_BOM[[#Totals],[Total Cost]]*(100%+表格_報價分析表[[#This Row],[倍率(不參考)]])</f>
        <v>3427.5360000000001</v>
      </c>
      <c r="B4" s="134">
        <f>表格_報價分析表[[#This Row],[報價金額(未稅)]]-表格_BOM[[#Totals],[Total Cost]]</f>
        <v>33.936000000000149</v>
      </c>
      <c r="C4" s="135">
        <f>表格_報價分析表[[#This Row],[利潤]]/表格_報價分析表[[#This Row],[報價金額(未稅)]]</f>
        <v>9.9009900990099445E-3</v>
      </c>
      <c r="D4" s="134">
        <f>表格_報價分析表[[#This Row],[報價金額(未稅)]]-表格_BOM[[#Totals],[Total Cost]]+'03 成本統計表'!$F$3+'03 成本統計表'!$F$14</f>
        <v>2397.5360000000001</v>
      </c>
      <c r="E4" s="136">
        <f>(D4)/表格_報價分析表[[#This Row],[報價金額(未稅)]]</f>
        <v>0.69949258009252124</v>
      </c>
      <c r="F4" s="137">
        <v>0.01</v>
      </c>
      <c r="G4" s="132"/>
      <c r="H4" s="133"/>
    </row>
    <row r="5" spans="1:12">
      <c r="A5" s="134">
        <f>表格_BOM[[#Totals],[Total Cost]]*(100%+表格_報價分析表[[#This Row],[倍率(不參考)]])</f>
        <v>3461.4719999999998</v>
      </c>
      <c r="B5" s="134">
        <f>表格_報價分析表[[#This Row],[報價金額(未稅)]]-表格_BOM[[#Totals],[Total Cost]]</f>
        <v>67.871999999999844</v>
      </c>
      <c r="C5" s="135">
        <f>表格_報價分析表[[#This Row],[利潤]]/表格_報價分析表[[#This Row],[報價金額(未稅)]]</f>
        <v>1.9607843137254857E-2</v>
      </c>
      <c r="D5" s="134">
        <f>表格_報價分析表[[#This Row],[報價金額(未稅)]]-表格_BOM[[#Totals],[Total Cost]]+'03 成本統計表'!$F$3+'03 成本統計表'!$F$14</f>
        <v>2431.4719999999998</v>
      </c>
      <c r="E5" s="136">
        <f>(D5)/表格_報價分析表[[#This Row],[報價金額(未稅)]]</f>
        <v>0.70243873126808476</v>
      </c>
      <c r="F5" s="137">
        <v>0.02</v>
      </c>
      <c r="G5" s="138"/>
      <c r="H5" s="178" t="s">
        <v>169</v>
      </c>
      <c r="I5" s="178"/>
    </row>
    <row r="6" spans="1:12">
      <c r="A6" s="134">
        <f>表格_BOM[[#Totals],[Total Cost]]*(100%+表格_報價分析表[[#This Row],[倍率(不參考)]])</f>
        <v>3495.4079999999999</v>
      </c>
      <c r="B6" s="134">
        <f>表格_報價分析表[[#This Row],[報價金額(未稅)]]-表格_BOM[[#Totals],[Total Cost]]</f>
        <v>101.80799999999999</v>
      </c>
      <c r="C6" s="135">
        <f>表格_報價分析表[[#This Row],[利潤]]/表格_報價分析表[[#This Row],[報價金額(未稅)]]</f>
        <v>2.9126213592233007E-2</v>
      </c>
      <c r="D6" s="134">
        <f>表格_報價分析表[[#This Row],[報價金額(未稅)]]-表格_BOM[[#Totals],[Total Cost]]+'03 成本統計表'!$F$3+'03 成本統計表'!$F$14</f>
        <v>2465.4079999999999</v>
      </c>
      <c r="E6" s="136">
        <f>(D6)/表格_報價分析表[[#This Row],[報價金額(未稅)]]</f>
        <v>0.70532767562470533</v>
      </c>
      <c r="F6" s="137">
        <v>0.03</v>
      </c>
      <c r="G6" s="138"/>
      <c r="H6" s="139" t="s">
        <v>170</v>
      </c>
      <c r="I6" s="140">
        <f>A3</f>
        <v>10000000</v>
      </c>
    </row>
    <row r="7" spans="1:12">
      <c r="A7" s="134">
        <f>表格_BOM[[#Totals],[Total Cost]]*(100%+表格_報價分析表[[#This Row],[倍率(不參考)]])</f>
        <v>3529.3440000000001</v>
      </c>
      <c r="B7" s="134">
        <f>表格_報價分析表[[#This Row],[報價金額(未稅)]]-表格_BOM[[#Totals],[Total Cost]]</f>
        <v>135.74400000000014</v>
      </c>
      <c r="C7" s="135">
        <f>表格_報價分析表[[#This Row],[利潤]]/表格_報價分析表[[#This Row],[報價金額(未稅)]]</f>
        <v>3.8461538461538498E-2</v>
      </c>
      <c r="D7" s="134">
        <f>表格_報價分析表[[#This Row],[報價金額(未稅)]]-表格_BOM[[#Totals],[Total Cost]]+'03 成本統計表'!$F$3+'03 成本統計表'!$F$14</f>
        <v>2499.3440000000001</v>
      </c>
      <c r="E7" s="136">
        <f>(D7)/表格_報價分析表[[#This Row],[報價金額(未稅)]]</f>
        <v>0.70816106335908313</v>
      </c>
      <c r="F7" s="137">
        <v>0.04</v>
      </c>
      <c r="G7" s="138"/>
      <c r="H7" s="139" t="s">
        <v>171</v>
      </c>
      <c r="I7" s="140">
        <f>I2</f>
        <v>1030</v>
      </c>
    </row>
    <row r="8" spans="1:12">
      <c r="A8" s="134">
        <f>表格_BOM[[#Totals],[Total Cost]]*(100%+表格_報價分析表[[#This Row],[倍率(不參考)]])</f>
        <v>3563.28</v>
      </c>
      <c r="B8" s="134">
        <f>表格_報價分析表[[#This Row],[報價金額(未稅)]]-表格_BOM[[#Totals],[Total Cost]]</f>
        <v>169.68000000000029</v>
      </c>
      <c r="C8" s="135">
        <f>表格_報價分析表[[#This Row],[利潤]]/表格_報價分析表[[#This Row],[報價金額(未稅)]]</f>
        <v>4.76190476190477E-2</v>
      </c>
      <c r="D8" s="134">
        <f>表格_報價分析表[[#This Row],[報價金額(未稅)]]-表格_BOM[[#Totals],[Total Cost]]+'03 成本統計表'!$F$3+'03 成本統計表'!$F$14</f>
        <v>2533.2800000000002</v>
      </c>
      <c r="E8" s="136">
        <f>(D8)/表格_報價分析表[[#This Row],[報價金額(未稅)]]</f>
        <v>0.7109404818032824</v>
      </c>
      <c r="F8" s="137">
        <v>0.05</v>
      </c>
      <c r="G8" s="138"/>
      <c r="H8" s="139" t="s">
        <v>172</v>
      </c>
      <c r="I8" s="140">
        <f>L1</f>
        <v>2363.6</v>
      </c>
    </row>
    <row r="9" spans="1:12">
      <c r="A9" s="134">
        <f>表格_BOM[[#Totals],[Total Cost]]*(100%+表格_報價分析表[[#This Row],[倍率(不參考)]])</f>
        <v>3597.2159999999999</v>
      </c>
      <c r="B9" s="134">
        <f>表格_報價分析表[[#This Row],[報價金額(未稅)]]-表格_BOM[[#Totals],[Total Cost]]</f>
        <v>203.61599999999999</v>
      </c>
      <c r="C9" s="135">
        <f>表格_報價分析表[[#This Row],[利潤]]/表格_報價分析表[[#This Row],[報價金額(未稅)]]</f>
        <v>5.6603773584905655E-2</v>
      </c>
      <c r="D9" s="134">
        <f>表格_報價分析表[[#This Row],[報價金額(未稅)]]-表格_BOM[[#Totals],[Total Cost]]+'03 成本統計表'!$F$3+'03 成本統計表'!$F$14</f>
        <v>2567.2159999999999</v>
      </c>
      <c r="E9" s="136">
        <f>(D9)/表格_報價分析表[[#This Row],[報價金額(未稅)]]</f>
        <v>0.71366745839004386</v>
      </c>
      <c r="F9" s="137">
        <v>0.06</v>
      </c>
      <c r="G9" s="138"/>
      <c r="H9" s="139" t="s">
        <v>173</v>
      </c>
      <c r="I9" s="140">
        <f>I1</f>
        <v>3393.6</v>
      </c>
    </row>
    <row r="10" spans="1:12">
      <c r="A10" s="134">
        <f>表格_BOM[[#Totals],[Total Cost]]*(100%+表格_報價分析表[[#This Row],[倍率(不參考)]])</f>
        <v>3631.152</v>
      </c>
      <c r="B10" s="134">
        <f>表格_報價分析表[[#This Row],[報價金額(未稅)]]-表格_BOM[[#Totals],[Total Cost]]</f>
        <v>237.55200000000013</v>
      </c>
      <c r="C10" s="135">
        <f>表格_報價分析表[[#This Row],[利潤]]/表格_報價分析表[[#This Row],[報價金額(未稅)]]</f>
        <v>6.5420560747663586E-2</v>
      </c>
      <c r="D10" s="134">
        <f>表格_報價分析表[[#This Row],[報價金額(未稅)]]-表格_BOM[[#Totals],[Total Cost]]+'03 成本統計表'!$F$3+'03 成本統計表'!$F$14</f>
        <v>2601.152</v>
      </c>
      <c r="E10" s="136">
        <f>(D10)/表格_報價分析表[[#This Row],[報價金額(未稅)]]</f>
        <v>0.7163434634518191</v>
      </c>
      <c r="F10" s="137">
        <v>7.0000000000000007E-2</v>
      </c>
      <c r="G10" s="138"/>
      <c r="H10" s="139" t="s">
        <v>174</v>
      </c>
      <c r="I10" s="139">
        <f>C3</f>
        <v>0.99966063999999999</v>
      </c>
    </row>
    <row r="11" spans="1:12">
      <c r="A11" s="134">
        <f>表格_BOM[[#Totals],[Total Cost]]*(100%+表格_報價分析表[[#This Row],[倍率(不參考)]])</f>
        <v>3665.0880000000002</v>
      </c>
      <c r="B11" s="134">
        <f>表格_報價分析表[[#This Row],[報價金額(未稅)]]-表格_BOM[[#Totals],[Total Cost]]</f>
        <v>271.48800000000028</v>
      </c>
      <c r="C11" s="135">
        <f>表格_報價分析表[[#This Row],[利潤]]/表格_報價分析表[[#This Row],[報價金額(未稅)]]</f>
        <v>7.4074074074074153E-2</v>
      </c>
      <c r="D11" s="134">
        <f>表格_報價分析表[[#This Row],[報價金額(未稅)]]-表格_BOM[[#Totals],[Total Cost]]+'03 成本統計表'!$F$3+'03 成本統計表'!$F$14</f>
        <v>2635.0880000000002</v>
      </c>
      <c r="E11" s="136">
        <f>(D11)/表格_報價分析表[[#This Row],[報價金額(未稅)]]</f>
        <v>0.71896991286430234</v>
      </c>
      <c r="F11" s="137">
        <v>0.08</v>
      </c>
      <c r="G11" s="138"/>
      <c r="H11" s="139" t="s">
        <v>175</v>
      </c>
      <c r="I11" s="140">
        <f>B3</f>
        <v>9996606.4000000004</v>
      </c>
    </row>
    <row r="12" spans="1:12">
      <c r="A12" s="134">
        <f>表格_BOM[[#Totals],[Total Cost]]*(100%+表格_報價分析表[[#This Row],[倍率(不參考)]])</f>
        <v>3699.0240000000003</v>
      </c>
      <c r="B12" s="134">
        <f>表格_報價分析表[[#This Row],[報價金額(未稅)]]-表格_BOM[[#Totals],[Total Cost]]</f>
        <v>305.42400000000043</v>
      </c>
      <c r="C12" s="135">
        <f>表格_報價分析表[[#This Row],[利潤]]/表格_報價分析表[[#This Row],[報價金額(未稅)]]</f>
        <v>8.2568807339449657E-2</v>
      </c>
      <c r="D12" s="134">
        <f>表格_報價分析表[[#This Row],[報價金額(未稅)]]-表格_BOM[[#Totals],[Total Cost]]+'03 成本統計表'!$F$3+'03 成本統計表'!$F$14</f>
        <v>2669.0240000000003</v>
      </c>
      <c r="E12" s="136">
        <f>(D12)/表格_報價分析表[[#This Row],[報價金額(未稅)]]</f>
        <v>0.72154817054444631</v>
      </c>
      <c r="F12" s="137">
        <v>0.09</v>
      </c>
      <c r="G12" s="138"/>
      <c r="H12" s="139" t="s">
        <v>176</v>
      </c>
      <c r="I12" s="139">
        <f>E3</f>
        <v>0.99989700000000004</v>
      </c>
    </row>
    <row r="13" spans="1:12">
      <c r="A13" s="134">
        <f>表格_BOM[[#Totals],[Total Cost]]*(100%+表格_報價分析表[[#This Row],[倍率(不參考)]])</f>
        <v>3732.96</v>
      </c>
      <c r="B13" s="134">
        <f>表格_報價分析表[[#This Row],[報價金額(未稅)]]-表格_BOM[[#Totals],[Total Cost]]</f>
        <v>339.36000000000013</v>
      </c>
      <c r="C13" s="135">
        <f>表格_報價分析表[[#This Row],[利潤]]/表格_報價分析表[[#This Row],[報價金額(未稅)]]</f>
        <v>9.0909090909090939E-2</v>
      </c>
      <c r="D13" s="134">
        <f>表格_報價分析表[[#This Row],[報價金額(未稅)]]-表格_BOM[[#Totals],[Total Cost]]+'03 成本統計表'!$F$3+'03 成本統計表'!$F$14</f>
        <v>2702.96</v>
      </c>
      <c r="E13" s="136">
        <f>(D13)/表格_報價分析表[[#This Row],[報價金額(未稅)]]</f>
        <v>0.72407955081222408</v>
      </c>
      <c r="F13" s="137">
        <v>0.1</v>
      </c>
      <c r="G13" s="138"/>
      <c r="H13" s="139" t="s">
        <v>177</v>
      </c>
      <c r="I13" s="140">
        <f>D3</f>
        <v>9998970</v>
      </c>
    </row>
    <row r="14" spans="1:12">
      <c r="A14" s="134">
        <f>表格_BOM[[#Totals],[Total Cost]]*(100%+表格_報價分析表[[#This Row],[倍率(不參考)]])</f>
        <v>3766.8960000000002</v>
      </c>
      <c r="B14" s="134">
        <f>表格_報價分析表[[#This Row],[報價金額(未稅)]]-表格_BOM[[#Totals],[Total Cost]]</f>
        <v>373.29600000000028</v>
      </c>
      <c r="C14" s="135">
        <f>表格_報價分析表[[#This Row],[利潤]]/表格_報價分析表[[#This Row],[報價金額(未稅)]]</f>
        <v>9.9099099099099169E-2</v>
      </c>
      <c r="D14" s="134">
        <f>表格_報價分析表[[#This Row],[報價金額(未稅)]]-表格_BOM[[#Totals],[Total Cost]]+'03 成本統計表'!$F$3+'03 成本統計表'!$F$14</f>
        <v>2736.8960000000002</v>
      </c>
      <c r="E14" s="136">
        <f>(D14)/表格_報價分析表[[#This Row],[報價金額(未稅)]]</f>
        <v>0.72656532062472656</v>
      </c>
      <c r="F14" s="137">
        <v>0.11</v>
      </c>
      <c r="G14" s="138"/>
      <c r="H14" s="133"/>
    </row>
    <row r="15" spans="1:12">
      <c r="A15" s="134">
        <f>表格_BOM[[#Totals],[Total Cost]]*(100%+表格_報價分析表[[#This Row],[倍率(不參考)]])</f>
        <v>3800.8320000000003</v>
      </c>
      <c r="B15" s="134">
        <f>表格_報價分析表[[#This Row],[報價金額(未稅)]]-表格_BOM[[#Totals],[Total Cost]]</f>
        <v>407.23200000000043</v>
      </c>
      <c r="C15" s="135">
        <f>表格_報價分析表[[#This Row],[利潤]]/表格_報價分析表[[#This Row],[報價金額(未稅)]]</f>
        <v>0.10714285714285725</v>
      </c>
      <c r="D15" s="134">
        <f>表格_報價分析表[[#This Row],[報價金額(未稅)]]-表格_BOM[[#Totals],[Total Cost]]+'03 成本統計表'!$F$3+'03 成本統計表'!$F$14</f>
        <v>2770.8320000000003</v>
      </c>
      <c r="E15" s="136">
        <f>(D15)/表格_報價分析表[[#This Row],[報價金額(未稅)]]</f>
        <v>0.72900670169057724</v>
      </c>
      <c r="F15" s="137">
        <v>0.12</v>
      </c>
      <c r="G15" s="138"/>
      <c r="H15" s="133"/>
    </row>
    <row r="16" spans="1:12">
      <c r="A16" s="134">
        <f>表格_BOM[[#Totals],[Total Cost]]*(100%+表格_報價分析表[[#This Row],[倍率(不參考)]])</f>
        <v>3834.7679999999996</v>
      </c>
      <c r="B16" s="134">
        <f>表格_報價分析表[[#This Row],[報價金額(未稅)]]-表格_BOM[[#Totals],[Total Cost]]</f>
        <v>441.16799999999967</v>
      </c>
      <c r="C16" s="135">
        <f>表格_報價分析表[[#This Row],[利潤]]/表格_報價分析表[[#This Row],[報價金額(未稅)]]</f>
        <v>0.11504424778761055</v>
      </c>
      <c r="D16" s="134">
        <f>表格_報價分析表[[#This Row],[報價金額(未稅)]]-表格_BOM[[#Totals],[Total Cost]]+'03 成本統計表'!$F$3+'03 成本統計表'!$F$14</f>
        <v>2804.7679999999996</v>
      </c>
      <c r="E16" s="136">
        <f>(D16)/表格_報價分析表[[#This Row],[報價金額(未稅)]]</f>
        <v>0.73140487247207653</v>
      </c>
      <c r="F16" s="137">
        <v>0.13</v>
      </c>
      <c r="G16" s="138"/>
      <c r="H16" s="133"/>
    </row>
    <row r="17" spans="1:8">
      <c r="A17" s="134">
        <f>表格_BOM[[#Totals],[Total Cost]]*(100%+表格_報價分析表[[#This Row],[倍率(不參考)]])</f>
        <v>3868.7040000000002</v>
      </c>
      <c r="B17" s="134">
        <f>表格_報價分析表[[#This Row],[報價金額(未稅)]]-表格_BOM[[#Totals],[Total Cost]]</f>
        <v>475.10400000000027</v>
      </c>
      <c r="C17" s="135">
        <f>表格_報價分析表[[#This Row],[利潤]]/表格_報價分析表[[#This Row],[報價金額(未稅)]]</f>
        <v>0.12280701754385971</v>
      </c>
      <c r="D17" s="134">
        <f>表格_報價分析表[[#This Row],[報價金額(未稅)]]-表格_BOM[[#Totals],[Total Cost]]+'03 成本統計表'!$F$3+'03 成本統計表'!$F$14</f>
        <v>2838.7040000000002</v>
      </c>
      <c r="E17" s="136">
        <f>(D17)/表格_報價分析表[[#This Row],[報價金額(未稅)]]</f>
        <v>0.73376097008197061</v>
      </c>
      <c r="F17" s="137">
        <v>0.14000000000000001</v>
      </c>
      <c r="G17" s="138"/>
      <c r="H17" s="133"/>
    </row>
    <row r="18" spans="1:8">
      <c r="A18" s="134">
        <f>表格_BOM[[#Totals],[Total Cost]]*(100%+表格_報價分析表[[#This Row],[倍率(不參考)]])</f>
        <v>3902.6399999999994</v>
      </c>
      <c r="B18" s="134">
        <f>表格_報價分析表[[#This Row],[報價金額(未稅)]]-表格_BOM[[#Totals],[Total Cost]]</f>
        <v>509.03999999999951</v>
      </c>
      <c r="C18" s="135">
        <f>表格_報價分析表[[#This Row],[利潤]]/表格_報價分析表[[#This Row],[報價金額(未稅)]]</f>
        <v>0.13043478260869554</v>
      </c>
      <c r="D18" s="134">
        <f>表格_報價分析表[[#This Row],[報價金額(未稅)]]-表格_BOM[[#Totals],[Total Cost]]+'03 成本統計表'!$F$3+'03 成本統計表'!$F$14</f>
        <v>2872.6399999999994</v>
      </c>
      <c r="E18" s="136">
        <f>(D18)/表格_報價分析表[[#This Row],[報價金額(未稅)]]</f>
        <v>0.73607609208125779</v>
      </c>
      <c r="F18" s="137">
        <v>0.15</v>
      </c>
      <c r="G18" s="138"/>
      <c r="H18" s="133"/>
    </row>
    <row r="19" spans="1:8">
      <c r="A19" s="134">
        <f>表格_BOM[[#Totals],[Total Cost]]*(100%+表格_報價分析表[[#This Row],[倍率(不參考)]])</f>
        <v>3936.5759999999996</v>
      </c>
      <c r="B19" s="134">
        <f>表格_報價分析表[[#This Row],[報價金額(未稅)]]-表格_BOM[[#Totals],[Total Cost]]</f>
        <v>542.97599999999966</v>
      </c>
      <c r="C19" s="135">
        <f>表格_報價分析表[[#This Row],[利潤]]/表格_報價分析表[[#This Row],[報價金額(未稅)]]</f>
        <v>0.13793103448275854</v>
      </c>
      <c r="D19" s="134">
        <f>表格_報價分析表[[#This Row],[報價金額(未稅)]]-表格_BOM[[#Totals],[Total Cost]]+'03 成本統計表'!$F$3+'03 成本統計表'!$F$14</f>
        <v>2906.5759999999996</v>
      </c>
      <c r="E19" s="136">
        <f>(D19)/表格_報價分析表[[#This Row],[報價金額(未稅)]]</f>
        <v>0.73835129818400558</v>
      </c>
      <c r="F19" s="137">
        <v>0.16</v>
      </c>
      <c r="G19" s="138"/>
      <c r="H19" s="133"/>
    </row>
    <row r="20" spans="1:8">
      <c r="A20" s="134">
        <f>表格_BOM[[#Totals],[Total Cost]]*(100%+表格_報價分析表[[#This Row],[倍率(不參考)]])</f>
        <v>3970.5119999999997</v>
      </c>
      <c r="B20" s="134">
        <f>表格_報價分析表[[#This Row],[報價金額(未稅)]]-表格_BOM[[#Totals],[Total Cost]]</f>
        <v>576.91199999999981</v>
      </c>
      <c r="C20" s="135">
        <f>表格_報價分析表[[#This Row],[利潤]]/表格_報價分析表[[#This Row],[報價金額(未稅)]]</f>
        <v>0.14529914529914525</v>
      </c>
      <c r="D20" s="134">
        <f>表格_報價分析表[[#This Row],[報價金額(未稅)]]-表格_BOM[[#Totals],[Total Cost]]+'03 成本統計表'!$F$3+'03 成本統計表'!$F$14</f>
        <v>2940.5119999999997</v>
      </c>
      <c r="E20" s="136">
        <f>(D20)/表格_報價分析表[[#This Row],[報價金額(未稅)]]</f>
        <v>0.74058761187474054</v>
      </c>
      <c r="F20" s="137">
        <v>0.17</v>
      </c>
      <c r="G20" s="138"/>
      <c r="H20" s="133"/>
    </row>
    <row r="21" spans="1:8">
      <c r="A21" s="134">
        <f>表格_BOM[[#Totals],[Total Cost]]*(100%+表格_報價分析表[[#This Row],[倍率(不參考)]])</f>
        <v>4004.4479999999999</v>
      </c>
      <c r="B21" s="134">
        <f>表格_報價分析表[[#This Row],[報價金額(未稅)]]-表格_BOM[[#Totals],[Total Cost]]</f>
        <v>610.84799999999996</v>
      </c>
      <c r="C21" s="135">
        <f>表格_報價分析表[[#This Row],[利潤]]/表格_報價分析表[[#This Row],[報價金額(未稅)]]</f>
        <v>0.15254237288135591</v>
      </c>
      <c r="D21" s="134">
        <f>表格_報價分析表[[#This Row],[報價金額(未稅)]]-表格_BOM[[#Totals],[Total Cost]]+'03 成本統計表'!$F$3+'03 成本統計表'!$F$14</f>
        <v>2974.4479999999999</v>
      </c>
      <c r="E21" s="136">
        <f>(D21)/表格_報價分析表[[#This Row],[報價金額(未稅)]]</f>
        <v>0.74278602194359866</v>
      </c>
      <c r="F21" s="137">
        <v>0.18</v>
      </c>
      <c r="G21" s="138"/>
      <c r="H21" s="133"/>
    </row>
    <row r="22" spans="1:8">
      <c r="A22" s="134">
        <f>表格_BOM[[#Totals],[Total Cost]]*(100%+表格_報價分析表[[#This Row],[倍率(不參考)]])</f>
        <v>4038.3839999999996</v>
      </c>
      <c r="B22" s="134">
        <f>表格_報價分析表[[#This Row],[報價金額(未稅)]]-表格_BOM[[#Totals],[Total Cost]]</f>
        <v>644.78399999999965</v>
      </c>
      <c r="C22" s="135">
        <f>表格_報價分析表[[#This Row],[利潤]]/表格_報價分析表[[#This Row],[報價金額(未稅)]]</f>
        <v>0.15966386554621842</v>
      </c>
      <c r="D22" s="134">
        <f>表格_報價分析表[[#This Row],[報價金額(未稅)]]-表格_BOM[[#Totals],[Total Cost]]+'03 成本統計表'!$F$3+'03 成本統計表'!$F$14</f>
        <v>3008.3839999999996</v>
      </c>
      <c r="E22" s="136">
        <f>(D22)/表格_報價分析表[[#This Row],[報價金額(未稅)]]</f>
        <v>0.74494748394407262</v>
      </c>
      <c r="F22" s="137">
        <v>0.19</v>
      </c>
      <c r="G22" s="138"/>
      <c r="H22" s="133"/>
    </row>
    <row r="23" spans="1:8">
      <c r="A23" s="134">
        <f>表格_BOM[[#Totals],[Total Cost]]*(100%+表格_報價分析表[[#This Row],[倍率(不參考)]])</f>
        <v>4072.3199999999997</v>
      </c>
      <c r="B23" s="134">
        <f>表格_報價分析表[[#This Row],[報價金額(未稅)]]-表格_BOM[[#Totals],[Total Cost]]</f>
        <v>678.7199999999998</v>
      </c>
      <c r="C23" s="135">
        <f>表格_報價分析表[[#This Row],[利潤]]/表格_報價分析表[[#This Row],[報價金額(未稅)]]</f>
        <v>0.16666666666666663</v>
      </c>
      <c r="D23" s="134">
        <f>表格_報價分析表[[#This Row],[報價金額(未稅)]]-表格_BOM[[#Totals],[Total Cost]]+'03 成本統計表'!$F$3+'03 成本統計表'!$F$14</f>
        <v>3042.3199999999997</v>
      </c>
      <c r="E23" s="136">
        <f>(D23)/表格_報價分析表[[#This Row],[報價金額(未稅)]]</f>
        <v>0.74707292157787208</v>
      </c>
      <c r="F23" s="137">
        <v>0.2</v>
      </c>
      <c r="G23" s="138"/>
      <c r="H23" s="133"/>
    </row>
    <row r="24" spans="1:8">
      <c r="A24" s="134">
        <f>表格_BOM[[#Totals],[Total Cost]]*(100%+表格_報價分析表[[#This Row],[倍率(不參考)]])</f>
        <v>4106.2559999999994</v>
      </c>
      <c r="B24" s="134">
        <f>表格_報價分析表[[#This Row],[報價金額(未稅)]]-表格_BOM[[#Totals],[Total Cost]]</f>
        <v>712.65599999999949</v>
      </c>
      <c r="C24" s="135">
        <f>表格_報價分析表[[#This Row],[利潤]]/表格_報價分析表[[#This Row],[報價金額(未稅)]]</f>
        <v>0.17355371900826436</v>
      </c>
      <c r="D24" s="134">
        <f>表格_報價分析表[[#This Row],[報價金額(未稅)]]-表格_BOM[[#Totals],[Total Cost]]+'03 成本統計表'!$F$3+'03 成本統計表'!$F$14</f>
        <v>3076.2559999999994</v>
      </c>
      <c r="E24" s="136">
        <f>(D24)/表格_報價分析表[[#This Row],[報價金額(未稅)]]</f>
        <v>0.74916322801111279</v>
      </c>
      <c r="F24" s="137">
        <v>0.21</v>
      </c>
      <c r="G24" s="138"/>
      <c r="H24" s="133"/>
    </row>
    <row r="25" spans="1:8">
      <c r="A25" s="134">
        <f>表格_BOM[[#Totals],[Total Cost]]*(100%+表格_報價分析表[[#This Row],[倍率(不參考)]])</f>
        <v>4140.192</v>
      </c>
      <c r="B25" s="134">
        <f>表格_報價分析表[[#This Row],[報價金額(未稅)]]-表格_BOM[[#Totals],[Total Cost]]</f>
        <v>746.5920000000001</v>
      </c>
      <c r="C25" s="135">
        <f>表格_報價分析表[[#This Row],[利潤]]/表格_報價分析表[[#This Row],[報價金額(未稅)]]</f>
        <v>0.18032786885245905</v>
      </c>
      <c r="D25" s="134">
        <f>表格_報價分析表[[#This Row],[報價金額(未稅)]]-表格_BOM[[#Totals],[Total Cost]]+'03 成本統計表'!$F$3+'03 成本統計表'!$F$14</f>
        <v>3110.192</v>
      </c>
      <c r="E25" s="136">
        <f>(D25)/表格_報價分析表[[#This Row],[報價金額(未稅)]]</f>
        <v>0.7512192671257758</v>
      </c>
      <c r="F25" s="137">
        <v>0.22</v>
      </c>
      <c r="G25" s="138"/>
      <c r="H25" s="133"/>
    </row>
    <row r="26" spans="1:8">
      <c r="A26" s="134">
        <f>表格_BOM[[#Totals],[Total Cost]]*(100%+表格_報價分析表[[#This Row],[倍率(不參考)]])</f>
        <v>4174.1279999999997</v>
      </c>
      <c r="B26" s="134">
        <f>表格_報價分析表[[#This Row],[報價金額(未稅)]]-表格_BOM[[#Totals],[Total Cost]]</f>
        <v>780.52799999999979</v>
      </c>
      <c r="C26" s="135">
        <f>表格_報價分析表[[#This Row],[利潤]]/表格_報價分析表[[#This Row],[報價金額(未稅)]]</f>
        <v>0.18699186991869915</v>
      </c>
      <c r="D26" s="134">
        <f>表格_報價分析表[[#This Row],[報價金額(未稅)]]-表格_BOM[[#Totals],[Total Cost]]+'03 成本統計表'!$F$3+'03 成本統計表'!$F$14</f>
        <v>3144.1279999999997</v>
      </c>
      <c r="E26" s="136">
        <f>(D26)/表格_報價分析表[[#This Row],[報價金額(未稅)]]</f>
        <v>0.75324187471011905</v>
      </c>
      <c r="F26" s="137">
        <v>0.23</v>
      </c>
    </row>
    <row r="27" spans="1:8">
      <c r="A27" s="134">
        <f>表格_BOM[[#Totals],[Total Cost]]*(100%+表格_報價分析表[[#This Row],[倍率(不參考)]])</f>
        <v>4208.0640000000003</v>
      </c>
      <c r="B27" s="134">
        <f>表格_報價分析表[[#This Row],[報價金額(未稅)]]-表格_BOM[[#Totals],[Total Cost]]</f>
        <v>814.4640000000004</v>
      </c>
      <c r="C27" s="135">
        <f>表格_報價分析表[[#This Row],[利潤]]/表格_報價分析表[[#This Row],[報價金額(未稅)]]</f>
        <v>0.19354838709677427</v>
      </c>
      <c r="D27" s="134">
        <f>表格_報價分析表[[#This Row],[報價金額(未稅)]]-表格_BOM[[#Totals],[Total Cost]]+'03 成本統計表'!$F$3+'03 成本統計表'!$F$14</f>
        <v>3178.0640000000003</v>
      </c>
      <c r="E27" s="136">
        <f>(D27)/表格_報價分析表[[#This Row],[報價金額(未稅)]]</f>
        <v>0.75523185959148909</v>
      </c>
      <c r="F27" s="137">
        <v>0.24</v>
      </c>
    </row>
    <row r="28" spans="1:8">
      <c r="A28" s="134">
        <f>表格_BOM[[#Totals],[Total Cost]]*(100%+表格_報價分析表[[#This Row],[倍率(不參考)]])</f>
        <v>4242</v>
      </c>
      <c r="B28" s="134">
        <f>表格_報價分析表[[#This Row],[報價金額(未稅)]]-表格_BOM[[#Totals],[Total Cost]]</f>
        <v>848.40000000000009</v>
      </c>
      <c r="C28" s="135">
        <f>表格_報價分析表[[#This Row],[利潤]]/表格_報價分析表[[#This Row],[報價金額(未稅)]]</f>
        <v>0.2</v>
      </c>
      <c r="D28" s="134">
        <f>表格_報價分析表[[#This Row],[報價金額(未稅)]]-表格_BOM[[#Totals],[Total Cost]]+'03 成本統計表'!$F$3+'03 成本統計表'!$F$14</f>
        <v>3212</v>
      </c>
      <c r="E28" s="136">
        <f>(D28)/表格_報價分析表[[#This Row],[報價金額(未稅)]]</f>
        <v>0.75719000471475717</v>
      </c>
      <c r="F28" s="137">
        <v>0.25</v>
      </c>
    </row>
    <row r="29" spans="1:8">
      <c r="A29" s="134">
        <f>表格_BOM[[#Totals],[Total Cost]]*(100%+表格_報價分析表[[#This Row],[倍率(不參考)]])</f>
        <v>4275.9359999999997</v>
      </c>
      <c r="B29" s="134">
        <f>表格_報價分析表[[#This Row],[報價金額(未稅)]]-表格_BOM[[#Totals],[Total Cost]]</f>
        <v>882.33599999999979</v>
      </c>
      <c r="C29" s="135">
        <f>表格_報價分析表[[#This Row],[利潤]]/表格_報價分析表[[#This Row],[報價金額(未稅)]]</f>
        <v>0.20634920634920631</v>
      </c>
      <c r="D29" s="134">
        <f>表格_報價分析表[[#This Row],[報價金額(未稅)]]-表格_BOM[[#Totals],[Total Cost]]+'03 成本統計表'!$F$3+'03 成本統計表'!$F$14</f>
        <v>3245.9359999999997</v>
      </c>
      <c r="E29" s="136">
        <f>(D29)/表格_報價分析表[[#This Row],[報價金額(未稅)]]</f>
        <v>0.75911706816940194</v>
      </c>
      <c r="F29" s="137">
        <v>0.26</v>
      </c>
    </row>
    <row r="30" spans="1:8">
      <c r="A30" s="134">
        <f>表格_BOM[[#Totals],[Total Cost]]*(100%+表格_報價分析表[[#This Row],[倍率(不參考)]])</f>
        <v>4309.8720000000003</v>
      </c>
      <c r="B30" s="134">
        <f>表格_報價分析表[[#This Row],[報價金額(未稅)]]-表格_BOM[[#Totals],[Total Cost]]</f>
        <v>916.27200000000039</v>
      </c>
      <c r="C30" s="135">
        <f>表格_報價分析表[[#This Row],[利潤]]/表格_報價分析表[[#This Row],[報價金額(未稅)]]</f>
        <v>0.21259842519685046</v>
      </c>
      <c r="D30" s="134">
        <f>表格_報價分析表[[#This Row],[報價金額(未稅)]]-表格_BOM[[#Totals],[Total Cost]]+'03 成本統計表'!$F$3+'03 成本統計表'!$F$14</f>
        <v>3279.8720000000003</v>
      </c>
      <c r="E30" s="136">
        <f>(D30)/表格_報價分析表[[#This Row],[報價金額(未稅)]]</f>
        <v>0.76101378416806809</v>
      </c>
      <c r="F30" s="137">
        <v>0.27</v>
      </c>
    </row>
    <row r="31" spans="1:8">
      <c r="A31" s="134">
        <f>表格_BOM[[#Totals],[Total Cost]]*(100%+表格_報價分析表[[#This Row],[倍率(不參考)]])</f>
        <v>4343.808</v>
      </c>
      <c r="B31" s="134">
        <f>表格_報價分析表[[#This Row],[報價金額(未稅)]]-表格_BOM[[#Totals],[Total Cost]]</f>
        <v>950.20800000000008</v>
      </c>
      <c r="C31" s="135">
        <f>表格_報價分析表[[#This Row],[利潤]]/表格_報價分析表[[#This Row],[報價金額(未稅)]]</f>
        <v>0.21875000000000003</v>
      </c>
      <c r="D31" s="134">
        <f>表格_報價分析表[[#This Row],[報價金額(未稅)]]-表格_BOM[[#Totals],[Total Cost]]+'03 成本統計表'!$F$3+'03 成本統計表'!$F$14</f>
        <v>3313.808</v>
      </c>
      <c r="E31" s="136">
        <f>(D31)/表格_報價分析表[[#This Row],[報價金額(未稅)]]</f>
        <v>0.76288086397925503</v>
      </c>
      <c r="F31" s="137">
        <v>0.28000000000000003</v>
      </c>
    </row>
    <row r="32" spans="1:8">
      <c r="A32" s="134">
        <f>表格_BOM[[#Totals],[Total Cost]]*(100%+表格_報價分析表[[#This Row],[倍率(不參考)]])</f>
        <v>4377.7439999999997</v>
      </c>
      <c r="B32" s="134">
        <f>表格_報價分析表[[#This Row],[報價金額(未稅)]]-表格_BOM[[#Totals],[Total Cost]]</f>
        <v>984.14399999999978</v>
      </c>
      <c r="C32" s="135">
        <f>表格_報價分析表[[#This Row],[利潤]]/表格_報價分析表[[#This Row],[報價金額(未稅)]]</f>
        <v>0.22480620155038755</v>
      </c>
      <c r="D32" s="134">
        <f>表格_報價分析表[[#This Row],[報價金額(未稅)]]-表格_BOM[[#Totals],[Total Cost]]+'03 成本統計表'!$F$3+'03 成本統計表'!$F$14</f>
        <v>3347.7439999999997</v>
      </c>
      <c r="E32" s="136">
        <f>(D32)/表格_報價分析表[[#This Row],[報價金額(未稅)]]</f>
        <v>0.76471899681662514</v>
      </c>
      <c r="F32" s="137">
        <v>0.28999999999999998</v>
      </c>
    </row>
    <row r="33" spans="1:6">
      <c r="A33" s="134">
        <f>表格_BOM[[#Totals],[Total Cost]]*(100%+表格_報價分析表[[#This Row],[倍率(不參考)]])</f>
        <v>4411.68</v>
      </c>
      <c r="B33" s="134">
        <f>表格_報價分析表[[#This Row],[報價金額(未稅)]]-表格_BOM[[#Totals],[Total Cost]]</f>
        <v>1018.0800000000004</v>
      </c>
      <c r="C33" s="135">
        <f>表格_報價分析表[[#This Row],[利潤]]/表格_報價分析表[[#This Row],[報價金額(未稅)]]</f>
        <v>0.23076923076923084</v>
      </c>
      <c r="D33" s="134">
        <f>表格_報價分析表[[#This Row],[報價金額(未稅)]]-表格_BOM[[#Totals],[Total Cost]]+'03 成本統計表'!$F$3+'03 成本統計表'!$F$14</f>
        <v>3381.6800000000003</v>
      </c>
      <c r="E33" s="136">
        <f>(D33)/表格_報價分析表[[#This Row],[報價金額(未稅)]]</f>
        <v>0.76652885068726651</v>
      </c>
      <c r="F33" s="137">
        <v>0.3</v>
      </c>
    </row>
    <row r="34" spans="1:6">
      <c r="A34" s="134">
        <f>表格_BOM[[#Totals],[Total Cost]]*(100%+表格_報價分析表[[#This Row],[倍率(不參考)]])</f>
        <v>4445.616</v>
      </c>
      <c r="B34" s="134">
        <f>表格_報價分析表[[#This Row],[報價金額(未稅)]]-表格_BOM[[#Totals],[Total Cost]]</f>
        <v>1052.0160000000001</v>
      </c>
      <c r="C34" s="135">
        <f>表格_報價分析表[[#This Row],[利潤]]/表格_報價分析表[[#This Row],[報價金額(未稅)]]</f>
        <v>0.23664122137404581</v>
      </c>
      <c r="D34" s="134">
        <f>表格_報價分析表[[#This Row],[報價金額(未稅)]]-表格_BOM[[#Totals],[Total Cost]]+'03 成本統計表'!$F$3+'03 成本統計表'!$F$14</f>
        <v>3415.616</v>
      </c>
      <c r="E34" s="136">
        <f>(D34)/表格_報價分析表[[#This Row],[報價金額(未稅)]]</f>
        <v>0.76831107320110414</v>
      </c>
      <c r="F34" s="137">
        <v>0.31</v>
      </c>
    </row>
    <row r="35" spans="1:6">
      <c r="A35" s="134">
        <f>表格_BOM[[#Totals],[Total Cost]]*(100%+表格_報價分析表[[#This Row],[倍率(不參考)]])</f>
        <v>4479.5519999999997</v>
      </c>
      <c r="B35" s="134">
        <f>表格_報價分析表[[#This Row],[報價金額(未稅)]]-表格_BOM[[#Totals],[Total Cost]]</f>
        <v>1085.9519999999998</v>
      </c>
      <c r="C35" s="135">
        <f>表格_報價分析表[[#This Row],[利潤]]/表格_報價分析表[[#This Row],[報價金額(未稅)]]</f>
        <v>0.2424242424242424</v>
      </c>
      <c r="D35" s="134">
        <f>表格_報價分析表[[#This Row],[報價金額(未稅)]]-表格_BOM[[#Totals],[Total Cost]]+'03 成本統計表'!$F$3+'03 成本統計表'!$F$14</f>
        <v>3449.5519999999997</v>
      </c>
      <c r="E35" s="136">
        <f>(D35)/表格_報價分析表[[#This Row],[報價金額(未稅)]]</f>
        <v>0.77006629234352009</v>
      </c>
      <c r="F35" s="137">
        <v>0.32</v>
      </c>
    </row>
    <row r="36" spans="1:6">
      <c r="A36" s="134">
        <f>表格_BOM[[#Totals],[Total Cost]]*(100%+表格_報價分析表[[#This Row],[倍率(不參考)]])</f>
        <v>4513.4880000000003</v>
      </c>
      <c r="B36" s="134">
        <f>表格_報價分析表[[#This Row],[報價金額(未稅)]]-表格_BOM[[#Totals],[Total Cost]]</f>
        <v>1119.8880000000004</v>
      </c>
      <c r="C36" s="135">
        <f>表格_報價分析表[[#This Row],[利潤]]/表格_報價分析表[[#This Row],[報價金額(未稅)]]</f>
        <v>0.24812030075187977</v>
      </c>
      <c r="D36" s="134">
        <f>表格_報價分析表[[#This Row],[報價金額(未稅)]]-表格_BOM[[#Totals],[Total Cost]]+'03 成本統計表'!$F$3+'03 成本統計表'!$F$14</f>
        <v>3483.4880000000003</v>
      </c>
      <c r="E36" s="136">
        <f>(D36)/表格_報價分析表[[#This Row],[報價金額(未稅)]]</f>
        <v>0.77179511721311767</v>
      </c>
      <c r="F36" s="137">
        <v>0.33</v>
      </c>
    </row>
    <row r="37" spans="1:6">
      <c r="A37" s="134">
        <f>表格_BOM[[#Totals],[Total Cost]]*(100%+表格_報價分析表[[#This Row],[倍率(不參考)]])</f>
        <v>4547.424</v>
      </c>
      <c r="B37" s="134">
        <f>表格_報價分析表[[#This Row],[報價金額(未稅)]]-表格_BOM[[#Totals],[Total Cost]]</f>
        <v>1153.8240000000001</v>
      </c>
      <c r="C37" s="135">
        <f>表格_報價分析表[[#This Row],[利潤]]/表格_報價分析表[[#This Row],[報價金額(未稅)]]</f>
        <v>0.2537313432835821</v>
      </c>
      <c r="D37" s="134">
        <f>表格_報價分析表[[#This Row],[報價金額(未稅)]]-表格_BOM[[#Totals],[Total Cost]]+'03 成本統計表'!$F$3+'03 成本統計表'!$F$14</f>
        <v>3517.424</v>
      </c>
      <c r="E37" s="136">
        <f>(D37)/表格_報價分析表[[#This Row],[報價金額(未稅)]]</f>
        <v>0.77349813872645257</v>
      </c>
      <c r="F37" s="137">
        <v>0.34</v>
      </c>
    </row>
    <row r="38" spans="1:6">
      <c r="A38" s="134">
        <f>表格_BOM[[#Totals],[Total Cost]]*(100%+表格_報價分析表[[#This Row],[倍率(不參考)]])</f>
        <v>4581.3600000000006</v>
      </c>
      <c r="B38" s="134">
        <f>表格_報價分析表[[#This Row],[報價金額(未稅)]]-表格_BOM[[#Totals],[Total Cost]]</f>
        <v>1187.7600000000007</v>
      </c>
      <c r="C38" s="135">
        <f>表格_報價分析表[[#This Row],[利潤]]/表格_報價分析表[[#This Row],[報價金額(未稅)]]</f>
        <v>0.25925925925925936</v>
      </c>
      <c r="D38" s="134">
        <f>表格_報價分析表[[#This Row],[報價金額(未稅)]]-表格_BOM[[#Totals],[Total Cost]]+'03 成本統計表'!$F$3+'03 成本統計表'!$F$14</f>
        <v>3551.3600000000006</v>
      </c>
      <c r="E38" s="136">
        <f>(D38)/表格_報價分析表[[#This Row],[報價金額(未稅)]]</f>
        <v>0.77517593029144183</v>
      </c>
      <c r="F38" s="137">
        <v>0.35</v>
      </c>
    </row>
    <row r="39" spans="1:6">
      <c r="A39" s="134">
        <f>表格_BOM[[#Totals],[Total Cost]]*(100%+表格_報價分析表[[#This Row],[倍率(不參考)]])</f>
        <v>4615.2959999999994</v>
      </c>
      <c r="B39" s="134">
        <f>表格_報價分析表[[#This Row],[報價金額(未稅)]]-表格_BOM[[#Totals],[Total Cost]]</f>
        <v>1221.6959999999995</v>
      </c>
      <c r="C39" s="135">
        <f>表格_報價分析表[[#This Row],[利潤]]/表格_報價分析表[[#This Row],[報價金額(未稅)]]</f>
        <v>0.26470588235294107</v>
      </c>
      <c r="D39" s="134">
        <f>表格_報價分析表[[#This Row],[報價金額(未稅)]]-表格_BOM[[#Totals],[Total Cost]]+'03 成本統計表'!$F$3+'03 成本統計表'!$F$14</f>
        <v>3585.2959999999994</v>
      </c>
      <c r="E39" s="136">
        <f>(D39)/表格_報價分析表[[#This Row],[報價金額(未稅)]]</f>
        <v>0.7768290484510636</v>
      </c>
      <c r="F39" s="137">
        <v>0.36</v>
      </c>
    </row>
    <row r="40" spans="1:6">
      <c r="A40" s="134">
        <f>表格_BOM[[#Totals],[Total Cost]]*(100%+表格_報價分析表[[#This Row],[倍率(不參考)]])</f>
        <v>4649.232</v>
      </c>
      <c r="B40" s="134">
        <f>表格_報價分析表[[#This Row],[報價金額(未稅)]]-表格_BOM[[#Totals],[Total Cost]]</f>
        <v>1255.6320000000001</v>
      </c>
      <c r="C40" s="135">
        <f>表格_報價分析表[[#This Row],[利潤]]/表格_報價分析表[[#This Row],[報價金額(未稅)]]</f>
        <v>0.27007299270072993</v>
      </c>
      <c r="D40" s="134">
        <f>表格_報價分析表[[#This Row],[報價金額(未稅)]]-表格_BOM[[#Totals],[Total Cost]]+'03 成本統計表'!$F$3+'03 成本統計表'!$F$14</f>
        <v>3619.232</v>
      </c>
      <c r="E40" s="136">
        <f>(D40)/表格_報價分析表[[#This Row],[報價金額(未稅)]]</f>
        <v>0.778458033498866</v>
      </c>
      <c r="F40" s="137">
        <v>0.37</v>
      </c>
    </row>
    <row r="41" spans="1:6">
      <c r="A41" s="134">
        <f>表格_BOM[[#Totals],[Total Cost]]*(100%+表格_報價分析表[[#This Row],[倍率(不參考)]])</f>
        <v>4683.1679999999997</v>
      </c>
      <c r="B41" s="134">
        <f>表格_報價分析表[[#This Row],[報價金額(未稅)]]-表格_BOM[[#Totals],[Total Cost]]</f>
        <v>1289.5679999999998</v>
      </c>
      <c r="C41" s="135">
        <f>表格_報價分析表[[#This Row],[利潤]]/表格_報價分析表[[#This Row],[報價金額(未稅)]]</f>
        <v>0.27536231884057966</v>
      </c>
      <c r="D41" s="134">
        <f>表格_報價分析表[[#This Row],[報價金額(未稅)]]-表格_BOM[[#Totals],[Total Cost]]+'03 成本統計表'!$F$3+'03 成本統計表'!$F$14</f>
        <v>3653.1679999999997</v>
      </c>
      <c r="E41" s="136">
        <f>(D41)/表格_報價分析表[[#This Row],[報價金額(未稅)]]</f>
        <v>0.78006341006771485</v>
      </c>
      <c r="F41" s="137">
        <v>0.38</v>
      </c>
    </row>
    <row r="42" spans="1:6">
      <c r="A42" s="134">
        <f>表格_BOM[[#Totals],[Total Cost]]*(100%+表格_報價分析表[[#This Row],[倍率(不參考)]])</f>
        <v>4717.1040000000003</v>
      </c>
      <c r="B42" s="134">
        <f>表格_報價分析表[[#This Row],[報價金額(未稅)]]-表格_BOM[[#Totals],[Total Cost]]</f>
        <v>1323.5040000000004</v>
      </c>
      <c r="C42" s="135">
        <f>表格_報價分析表[[#This Row],[利潤]]/表格_報價分析表[[#This Row],[報價金額(未稅)]]</f>
        <v>0.28057553956834541</v>
      </c>
      <c r="D42" s="134">
        <f>表格_報價分析表[[#This Row],[報價金額(未稅)]]-表格_BOM[[#Totals],[Total Cost]]+'03 成本統計表'!$F$3+'03 成本統計表'!$F$14</f>
        <v>3687.1040000000003</v>
      </c>
      <c r="E42" s="136">
        <f>(D42)/表格_報價分析表[[#This Row],[報價金額(未稅)]]</f>
        <v>0.78164568769312703</v>
      </c>
      <c r="F42" s="137">
        <v>0.39</v>
      </c>
    </row>
    <row r="43" spans="1:6">
      <c r="A43" s="134">
        <f>表格_BOM[[#Totals],[Total Cost]]*(100%+表格_報價分析表[[#This Row],[倍率(不參考)]])</f>
        <v>4751.04</v>
      </c>
      <c r="B43" s="134">
        <f>表格_報價分析表[[#This Row],[報價金額(未稅)]]-表格_BOM[[#Totals],[Total Cost]]</f>
        <v>1357.44</v>
      </c>
      <c r="C43" s="135">
        <f>表格_報價分析表[[#This Row],[利潤]]/表格_報價分析表[[#This Row],[報價金額(未稅)]]</f>
        <v>0.28571428571428575</v>
      </c>
      <c r="D43" s="134">
        <f>表格_報價分析表[[#This Row],[報價金額(未稅)]]-表格_BOM[[#Totals],[Total Cost]]+'03 成本統計表'!$F$3+'03 成本統計表'!$F$14</f>
        <v>3721.04</v>
      </c>
      <c r="E43" s="136">
        <f>(D43)/表格_報價分析表[[#This Row],[報價金額(未稅)]]</f>
        <v>0.78320536135246177</v>
      </c>
      <c r="F43" s="137">
        <v>0.4</v>
      </c>
    </row>
    <row r="44" spans="1:6">
      <c r="A44" s="134">
        <f>表格_BOM[[#Totals],[Total Cost]]*(100%+表格_報價分析表[[#This Row],[倍率(不參考)]])</f>
        <v>4784.9759999999997</v>
      </c>
      <c r="B44" s="134">
        <f>表格_報價分析表[[#This Row],[報價金額(未稅)]]-表格_BOM[[#Totals],[Total Cost]]</f>
        <v>1391.3759999999997</v>
      </c>
      <c r="C44" s="135">
        <f>表格_報價分析表[[#This Row],[利潤]]/表格_報價分析表[[#This Row],[報價金額(未稅)]]</f>
        <v>0.29078014184397161</v>
      </c>
      <c r="D44" s="134">
        <f>表格_報價分析表[[#This Row],[報價金額(未稅)]]-表格_BOM[[#Totals],[Total Cost]]+'03 成本統計表'!$F$3+'03 成本統計表'!$F$14</f>
        <v>3754.9759999999997</v>
      </c>
      <c r="E44" s="136">
        <f>(D44)/表格_報價分析表[[#This Row],[報價金額(未稅)]]</f>
        <v>0.78474291198116775</v>
      </c>
      <c r="F44" s="137">
        <v>0.41</v>
      </c>
    </row>
    <row r="45" spans="1:6">
      <c r="A45" s="134">
        <f>表格_BOM[[#Totals],[Total Cost]]*(100%+表格_報價分析表[[#This Row],[倍率(不參考)]])</f>
        <v>4818.9119999999994</v>
      </c>
      <c r="B45" s="134">
        <f>表格_報價分析表[[#This Row],[報價金額(未稅)]]-表格_BOM[[#Totals],[Total Cost]]</f>
        <v>1425.3119999999994</v>
      </c>
      <c r="C45" s="135">
        <f>表格_報價分析表[[#This Row],[利潤]]/表格_報價分析表[[#This Row],[報價金額(未稅)]]</f>
        <v>0.29577464788732388</v>
      </c>
      <c r="D45" s="134">
        <f>表格_報價分析表[[#This Row],[報價金額(未稅)]]-表格_BOM[[#Totals],[Total Cost]]+'03 成本統計表'!$F$3+'03 成本統計表'!$F$14</f>
        <v>3788.9119999999994</v>
      </c>
      <c r="E45" s="136">
        <f>(D45)/表格_報價分析表[[#This Row],[報價金額(未稅)]]</f>
        <v>0.78625880696721584</v>
      </c>
      <c r="F45" s="137">
        <v>0.42</v>
      </c>
    </row>
    <row r="46" spans="1:6">
      <c r="A46" s="134">
        <f>表格_BOM[[#Totals],[Total Cost]]*(100%+表格_報價分析表[[#This Row],[倍率(不參考)]])</f>
        <v>4852.848</v>
      </c>
      <c r="B46" s="134">
        <f>表格_報價分析表[[#This Row],[報價金額(未稅)]]-表格_BOM[[#Totals],[Total Cost]]</f>
        <v>1459.248</v>
      </c>
      <c r="C46" s="135">
        <f>表格_報價分析表[[#This Row],[利潤]]/表格_報價分析表[[#This Row],[報價金額(未稅)]]</f>
        <v>0.30069930069930073</v>
      </c>
      <c r="D46" s="134">
        <f>表格_報價分析表[[#This Row],[報價金額(未稅)]]-表格_BOM[[#Totals],[Total Cost]]+'03 成本統計表'!$F$3+'03 成本統計表'!$F$14</f>
        <v>3822.848</v>
      </c>
      <c r="E46" s="136">
        <f>(D46)/表格_報價分析表[[#This Row],[報價金額(未稅)]]</f>
        <v>0.78775350062478777</v>
      </c>
      <c r="F46" s="137">
        <v>0.43</v>
      </c>
    </row>
    <row r="47" spans="1:6">
      <c r="A47" s="134">
        <f>表格_BOM[[#Totals],[Total Cost]]*(100%+表格_報價分析表[[#This Row],[倍率(不參考)]])</f>
        <v>4886.7839999999997</v>
      </c>
      <c r="B47" s="134">
        <f>表格_報價分析表[[#This Row],[報價金額(未稅)]]-表格_BOM[[#Totals],[Total Cost]]</f>
        <v>1493.1839999999997</v>
      </c>
      <c r="C47" s="135">
        <f>表格_報價分析表[[#This Row],[利潤]]/表格_報價分析表[[#This Row],[報價金額(未稅)]]</f>
        <v>0.30555555555555552</v>
      </c>
      <c r="D47" s="134">
        <f>表格_報價分析表[[#This Row],[報價金額(未稅)]]-表格_BOM[[#Totals],[Total Cost]]+'03 成本統計表'!$F$3+'03 成本統計表'!$F$14</f>
        <v>3856.7839999999997</v>
      </c>
      <c r="E47" s="136">
        <f>(D47)/表格_報價分析表[[#This Row],[報價金額(未稅)]]</f>
        <v>0.78922743464822676</v>
      </c>
      <c r="F47" s="137">
        <v>0.44</v>
      </c>
    </row>
    <row r="48" spans="1:6">
      <c r="A48" s="134">
        <f>表格_BOM[[#Totals],[Total Cost]]*(100%+表格_報價分析表[[#This Row],[倍率(不參考)]])</f>
        <v>4920.7199999999993</v>
      </c>
      <c r="B48" s="134">
        <f>表格_報價分析表[[#This Row],[報價金額(未稅)]]-表格_BOM[[#Totals],[Total Cost]]</f>
        <v>1527.1199999999994</v>
      </c>
      <c r="C48" s="135">
        <f>表格_報價分析表[[#This Row],[利潤]]/表格_報價分析表[[#This Row],[報價金額(未稅)]]</f>
        <v>0.31034482758620685</v>
      </c>
      <c r="D48" s="134">
        <f>表格_報價分析表[[#This Row],[報價金額(未稅)]]-表格_BOM[[#Totals],[Total Cost]]+'03 成本統計表'!$F$3+'03 成本統計表'!$F$14</f>
        <v>3890.7199999999993</v>
      </c>
      <c r="E48" s="136">
        <f>(D48)/表格_報價分析表[[#This Row],[報價金額(未稅)]]</f>
        <v>0.7906810385472044</v>
      </c>
      <c r="F48" s="137">
        <v>0.45</v>
      </c>
    </row>
    <row r="49" spans="1:6">
      <c r="A49" s="134">
        <f>表格_BOM[[#Totals],[Total Cost]]*(100%+表格_報價分析表[[#This Row],[倍率(不參考)]])</f>
        <v>4954.6559999999999</v>
      </c>
      <c r="B49" s="134">
        <f>表格_報價分析表[[#This Row],[報價金額(未稅)]]-表格_BOM[[#Totals],[Total Cost]]</f>
        <v>1561.056</v>
      </c>
      <c r="C49" s="135">
        <f>表格_報價分析表[[#This Row],[利潤]]/表格_報價分析表[[#This Row],[報價金額(未稅)]]</f>
        <v>0.31506849315068497</v>
      </c>
      <c r="D49" s="134">
        <f>表格_報價分析表[[#This Row],[報價金額(未稅)]]-表格_BOM[[#Totals],[Total Cost]]+'03 成本統計表'!$F$3+'03 成本統計表'!$F$14</f>
        <v>3924.6559999999999</v>
      </c>
      <c r="E49" s="136">
        <f>(D49)/表格_報價分析表[[#This Row],[報價金額(未稅)]]</f>
        <v>0.79211473006400446</v>
      </c>
      <c r="F49" s="137">
        <v>0.46</v>
      </c>
    </row>
    <row r="50" spans="1:6">
      <c r="A50" s="134">
        <f>表格_BOM[[#Totals],[Total Cost]]*(100%+表格_報價分析表[[#This Row],[倍率(不參考)]])</f>
        <v>4988.5919999999996</v>
      </c>
      <c r="B50" s="134">
        <f>表格_報價分析表[[#This Row],[報價金額(未稅)]]-表格_BOM[[#Totals],[Total Cost]]</f>
        <v>1594.9919999999997</v>
      </c>
      <c r="C50" s="135">
        <f>表格_報價分析表[[#This Row],[利潤]]/表格_報價分析表[[#This Row],[報價金額(未稅)]]</f>
        <v>0.31972789115646255</v>
      </c>
      <c r="D50" s="134">
        <f>表格_報價分析表[[#This Row],[報價金額(未稅)]]-表格_BOM[[#Totals],[Total Cost]]+'03 成本統計表'!$F$3+'03 成本統計表'!$F$14</f>
        <v>3958.5919999999996</v>
      </c>
      <c r="E50" s="136">
        <f>(D50)/表格_報價分析表[[#This Row],[報價金額(未稅)]]</f>
        <v>0.79352891557377314</v>
      </c>
      <c r="F50" s="137">
        <v>0.47</v>
      </c>
    </row>
    <row r="51" spans="1:6">
      <c r="A51" s="134">
        <f>表格_BOM[[#Totals],[Total Cost]]*(100%+表格_報價分析表[[#This Row],[倍率(不參考)]])</f>
        <v>5022.5280000000002</v>
      </c>
      <c r="B51" s="134">
        <f>表格_報價分析表[[#This Row],[報價金額(未稅)]]-表格_BOM[[#Totals],[Total Cost]]</f>
        <v>1628.9280000000003</v>
      </c>
      <c r="C51" s="135">
        <f>表格_報價分析表[[#This Row],[利潤]]/表格_報價分析表[[#This Row],[報價金額(未稅)]]</f>
        <v>0.3243243243243244</v>
      </c>
      <c r="D51" s="134">
        <f>表格_報價分析表[[#This Row],[報價金額(未稅)]]-表格_BOM[[#Totals],[Total Cost]]+'03 成本統計表'!$F$3+'03 成本統計表'!$F$14</f>
        <v>3992.5280000000002</v>
      </c>
      <c r="E51" s="136">
        <f>(D51)/表格_報價分析表[[#This Row],[報價金額(未稅)]]</f>
        <v>0.79492399046854489</v>
      </c>
      <c r="F51" s="137">
        <v>0.48</v>
      </c>
    </row>
    <row r="52" spans="1:6">
      <c r="A52" s="134">
        <f>表格_BOM[[#Totals],[Total Cost]]*(100%+表格_報價分析表[[#This Row],[倍率(不參考)]])</f>
        <v>5056.4639999999999</v>
      </c>
      <c r="B52" s="134">
        <f>表格_報價分析表[[#This Row],[報價金額(未稅)]]-表格_BOM[[#Totals],[Total Cost]]</f>
        <v>1662.864</v>
      </c>
      <c r="C52" s="135">
        <f>表格_報價分析表[[#This Row],[利潤]]/表格_報價分析表[[#This Row],[報價金額(未稅)]]</f>
        <v>0.32885906040268459</v>
      </c>
      <c r="D52" s="134">
        <f>表格_報價分析表[[#This Row],[報價金額(未稅)]]-表格_BOM[[#Totals],[Total Cost]]+'03 成本統計表'!$F$3+'03 成本統計表'!$F$14</f>
        <v>4026.4639999999999</v>
      </c>
      <c r="E52" s="136">
        <f>(D52)/表格_報價分析表[[#This Row],[報價金額(未稅)]]</f>
        <v>0.79630033952580304</v>
      </c>
      <c r="F52" s="137">
        <v>0.49</v>
      </c>
    </row>
    <row r="53" spans="1:6">
      <c r="A53" s="134">
        <f>表格_BOM[[#Totals],[Total Cost]]*(100%+表格_報價分析表[[#This Row],[倍率(不參考)]])</f>
        <v>5090.3999999999996</v>
      </c>
      <c r="B53" s="134">
        <f>表格_報價分析表[[#This Row],[報價金額(未稅)]]-表格_BOM[[#Totals],[Total Cost]]</f>
        <v>1696.7999999999997</v>
      </c>
      <c r="C53" s="135">
        <f>表格_報價分析表[[#This Row],[利潤]]/表格_報價分析表[[#This Row],[報價金額(未稅)]]</f>
        <v>0.33333333333333331</v>
      </c>
      <c r="D53" s="134">
        <f>表格_報價分析表[[#This Row],[報價金額(未稅)]]-表格_BOM[[#Totals],[Total Cost]]+'03 成本統計表'!$F$3+'03 成本統計表'!$F$14</f>
        <v>4060.3999999999996</v>
      </c>
      <c r="E53" s="136">
        <f>(D53)/表格_報價分析表[[#This Row],[報價金額(未稅)]]</f>
        <v>0.79765833726229762</v>
      </c>
      <c r="F53" s="137">
        <v>0.5</v>
      </c>
    </row>
    <row r="54" spans="1:6">
      <c r="A54" s="134">
        <f>表格_BOM[[#Totals],[Total Cost]]*(100%+表格_報價分析表[[#This Row],[倍率(不參考)]])</f>
        <v>5124.3360000000002</v>
      </c>
      <c r="B54" s="134">
        <f>表格_報價分析表[[#This Row],[報價金額(未稅)]]-表格_BOM[[#Totals],[Total Cost]]</f>
        <v>1730.7360000000003</v>
      </c>
      <c r="C54" s="135">
        <f>表格_報價分析表[[#This Row],[利潤]]/表格_報價分析表[[#This Row],[報價金額(未稅)]]</f>
        <v>0.33774834437086099</v>
      </c>
      <c r="D54" s="134">
        <f>表格_報價分析表[[#This Row],[報價金額(未稅)]]-表格_BOM[[#Totals],[Total Cost]]+'03 成本統計表'!$F$3+'03 成本統計表'!$F$14</f>
        <v>4094.3360000000002</v>
      </c>
      <c r="E54" s="136">
        <f>(D54)/表格_報價分析表[[#This Row],[報價金額(未稅)]]</f>
        <v>0.79899834827380567</v>
      </c>
      <c r="F54" s="137">
        <v>0.51</v>
      </c>
    </row>
    <row r="55" spans="1:6">
      <c r="A55" s="134">
        <f>表格_BOM[[#Totals],[Total Cost]]*(100%+表格_報價分析表[[#This Row],[倍率(不參考)]])</f>
        <v>5158.2719999999999</v>
      </c>
      <c r="B55" s="134">
        <f>表格_報價分析表[[#This Row],[報價金額(未稅)]]-表格_BOM[[#Totals],[Total Cost]]</f>
        <v>1764.672</v>
      </c>
      <c r="C55" s="135">
        <f>表格_報價分析表[[#This Row],[利潤]]/表格_報價分析表[[#This Row],[報價金額(未稅)]]</f>
        <v>0.34210526315789475</v>
      </c>
      <c r="D55" s="134">
        <f>表格_報價分析表[[#This Row],[報價金額(未稅)]]-表格_BOM[[#Totals],[Total Cost]]+'03 成本統計表'!$F$3+'03 成本統計表'!$F$14</f>
        <v>4128.2719999999999</v>
      </c>
      <c r="E55" s="136">
        <f>(D55)/表格_報價分析表[[#This Row],[報價金額(未稅)]]</f>
        <v>0.80032072756147798</v>
      </c>
      <c r="F55" s="137">
        <v>0.52</v>
      </c>
    </row>
    <row r="56" spans="1:6">
      <c r="A56" s="134">
        <f>表格_BOM[[#Totals],[Total Cost]]*(100%+表格_報價分析表[[#This Row],[倍率(不參考)]])</f>
        <v>5192.2079999999996</v>
      </c>
      <c r="B56" s="134">
        <f>表格_報價分析表[[#This Row],[報價金額(未稅)]]-表格_BOM[[#Totals],[Total Cost]]</f>
        <v>1798.6079999999997</v>
      </c>
      <c r="C56" s="135">
        <f>表格_報價分析表[[#This Row],[利潤]]/表格_報價分析表[[#This Row],[報價金額(未稅)]]</f>
        <v>0.34640522875816993</v>
      </c>
      <c r="D56" s="134">
        <f>表格_報價分析表[[#This Row],[報價金額(未稅)]]-表格_BOM[[#Totals],[Total Cost]]+'03 成本統計表'!$F$3+'03 成本統計表'!$F$14</f>
        <v>4162.2079999999996</v>
      </c>
      <c r="E56" s="136">
        <f>(D56)/表格_報價分析表[[#This Row],[報價金額(未稅)]]</f>
        <v>0.8016258208453898</v>
      </c>
      <c r="F56" s="137">
        <v>0.53</v>
      </c>
    </row>
    <row r="57" spans="1:6">
      <c r="A57" s="134">
        <f>表格_BOM[[#Totals],[Total Cost]]*(100%+表格_報價分析表[[#This Row],[倍率(不參考)]])</f>
        <v>5226.1440000000002</v>
      </c>
      <c r="B57" s="134">
        <f>表格_報價分析表[[#This Row],[報價金額(未稅)]]-表格_BOM[[#Totals],[Total Cost]]</f>
        <v>1832.5440000000003</v>
      </c>
      <c r="C57" s="135">
        <f>表格_報價分析表[[#This Row],[利潤]]/表格_報價分析表[[#This Row],[報價金額(未稅)]]</f>
        <v>0.35064935064935071</v>
      </c>
      <c r="D57" s="134">
        <f>表格_報價分析表[[#This Row],[報價金額(未稅)]]-表格_BOM[[#Totals],[Total Cost]]+'03 成本統計表'!$F$3+'03 成本統計表'!$F$14</f>
        <v>4196.1440000000002</v>
      </c>
      <c r="E57" s="136">
        <f>(D57)/表格_報價分析表[[#This Row],[報價金額(未稅)]]</f>
        <v>0.8029139648658743</v>
      </c>
      <c r="F57" s="137">
        <v>0.54</v>
      </c>
    </row>
    <row r="58" spans="1:6">
      <c r="A58" s="134">
        <f>表格_BOM[[#Totals],[Total Cost]]*(100%+表格_報價分析表[[#This Row],[倍率(不參考)]])</f>
        <v>5260.08</v>
      </c>
      <c r="B58" s="134">
        <f>表格_報價分析表[[#This Row],[報價金額(未稅)]]-表格_BOM[[#Totals],[Total Cost]]</f>
        <v>1866.48</v>
      </c>
      <c r="C58" s="135">
        <f>表格_報價分析表[[#This Row],[利潤]]/表格_報價分析表[[#This Row],[報價金額(未稅)]]</f>
        <v>0.35483870967741937</v>
      </c>
      <c r="D58" s="134">
        <f>表格_報價分析表[[#This Row],[報價金額(未稅)]]-表格_BOM[[#Totals],[Total Cost]]+'03 成本統計表'!$F$3+'03 成本統計表'!$F$14</f>
        <v>4230.08</v>
      </c>
      <c r="E58" s="136">
        <f>(D58)/表格_報價分析表[[#This Row],[報價金額(未稅)]]</f>
        <v>0.80418548767319131</v>
      </c>
      <c r="F58" s="137">
        <v>0.55000000000000004</v>
      </c>
    </row>
    <row r="59" spans="1:6">
      <c r="A59" s="134">
        <f>表格_BOM[[#Totals],[Total Cost]]*(100%+表格_報價分析表[[#This Row],[倍率(不參考)]])</f>
        <v>5294.0159999999996</v>
      </c>
      <c r="B59" s="134">
        <f>表格_報價分析表[[#This Row],[報價金額(未稅)]]-表格_BOM[[#Totals],[Total Cost]]</f>
        <v>1900.4159999999997</v>
      </c>
      <c r="C59" s="135">
        <f>表格_報價分析表[[#This Row],[利潤]]/表格_報價分析表[[#This Row],[報價金額(未稅)]]</f>
        <v>0.35897435897435892</v>
      </c>
      <c r="D59" s="134">
        <f>表格_報價分析表[[#This Row],[報價金額(未稅)]]-表格_BOM[[#Totals],[Total Cost]]+'03 成本統計表'!$F$3+'03 成本統計表'!$F$14</f>
        <v>4264.0159999999996</v>
      </c>
      <c r="E59" s="136">
        <f>(D59)/表格_報價分析表[[#This Row],[報價金額(未稅)]]</f>
        <v>0.80544070890605546</v>
      </c>
      <c r="F59" s="137">
        <v>0.56000000000000005</v>
      </c>
    </row>
    <row r="60" spans="1:6">
      <c r="A60" s="134">
        <f>表格_BOM[[#Totals],[Total Cost]]*(100%+表格_報價分析表[[#This Row],[倍率(不參考)]])</f>
        <v>5327.9519999999993</v>
      </c>
      <c r="B60" s="134">
        <f>表格_報價分析表[[#This Row],[報價金額(未稅)]]-表格_BOM[[#Totals],[Total Cost]]</f>
        <v>1934.3519999999994</v>
      </c>
      <c r="C60" s="135">
        <f>表格_報價分析表[[#This Row],[利潤]]/表格_報價分析表[[#This Row],[報價金額(未稅)]]</f>
        <v>0.36305732484076425</v>
      </c>
      <c r="D60" s="134">
        <f>表格_報價分析表[[#This Row],[報價金額(未稅)]]-表格_BOM[[#Totals],[Total Cost]]+'03 成本統計表'!$F$3+'03 成本統計表'!$F$14</f>
        <v>4297.9519999999993</v>
      </c>
      <c r="E60" s="136">
        <f>(D60)/表格_報價分析表[[#This Row],[報價金額(未稅)]]</f>
        <v>0.80667994005952004</v>
      </c>
      <c r="F60" s="137">
        <v>0.56999999999999995</v>
      </c>
    </row>
    <row r="61" spans="1:6">
      <c r="A61" s="134">
        <f>表格_BOM[[#Totals],[Total Cost]]*(100%+表格_報價分析表[[#This Row],[倍率(不參考)]])</f>
        <v>5361.8879999999999</v>
      </c>
      <c r="B61" s="134">
        <f>表格_報價分析表[[#This Row],[報價金額(未稅)]]-表格_BOM[[#Totals],[Total Cost]]</f>
        <v>1968.288</v>
      </c>
      <c r="C61" s="135">
        <f>表格_報價分析表[[#This Row],[利潤]]/表格_報價分析表[[#This Row],[報價金額(未稅)]]</f>
        <v>0.36708860759493672</v>
      </c>
      <c r="D61" s="134">
        <f>表格_報價分析表[[#This Row],[報價金額(未稅)]]-表格_BOM[[#Totals],[Total Cost]]+'03 成本統計表'!$F$3+'03 成本統計表'!$F$14</f>
        <v>4331.8879999999999</v>
      </c>
      <c r="E61" s="136">
        <f>(D61)/表格_報價分析表[[#This Row],[報價金額(未稅)]]</f>
        <v>0.80790348474268769</v>
      </c>
      <c r="F61" s="137">
        <v>0.57999999999999996</v>
      </c>
    </row>
    <row r="62" spans="1:6">
      <c r="A62" s="134">
        <f>表格_BOM[[#Totals],[Total Cost]]*(100%+表格_報價分析表[[#This Row],[倍率(不參考)]])</f>
        <v>5395.8239999999996</v>
      </c>
      <c r="B62" s="134">
        <f>表格_報價分析表[[#This Row],[報價金額(未稅)]]-表格_BOM[[#Totals],[Total Cost]]</f>
        <v>2002.2239999999997</v>
      </c>
      <c r="C62" s="135">
        <f>表格_報價分析表[[#This Row],[利潤]]/表格_報價分析表[[#This Row],[報價金額(未稅)]]</f>
        <v>0.37106918238993708</v>
      </c>
      <c r="D62" s="134">
        <f>表格_報價分析表[[#This Row],[報價金額(未稅)]]-表格_BOM[[#Totals],[Total Cost]]+'03 成本統計表'!$F$3+'03 成本統計表'!$F$14</f>
        <v>4365.8239999999996</v>
      </c>
      <c r="E62" s="136">
        <f>(D62)/表格_報價分析表[[#This Row],[報價金額(未稅)]]</f>
        <v>0.80911163892669591</v>
      </c>
      <c r="F62" s="137">
        <v>0.59</v>
      </c>
    </row>
    <row r="63" spans="1:6">
      <c r="A63" s="134">
        <f>表格_BOM[[#Totals],[Total Cost]]*(100%+表格_報價分析表[[#This Row],[倍率(不參考)]])</f>
        <v>5429.76</v>
      </c>
      <c r="B63" s="134">
        <f>表格_報價分析表[[#This Row],[報價金額(未稅)]]-表格_BOM[[#Totals],[Total Cost]]</f>
        <v>2036.1600000000003</v>
      </c>
      <c r="C63" s="135">
        <f>表格_報價分析表[[#This Row],[利潤]]/表格_報價分析表[[#This Row],[報價金額(未稅)]]</f>
        <v>0.37500000000000006</v>
      </c>
      <c r="D63" s="134">
        <f>表格_報價分析表[[#This Row],[報價金額(未稅)]]-表格_BOM[[#Totals],[Total Cost]]+'03 成本統計表'!$F$3+'03 成本統計表'!$F$14</f>
        <v>4399.76</v>
      </c>
      <c r="E63" s="136">
        <f>(D63)/表格_報價分析表[[#This Row],[報價金額(未稅)]]</f>
        <v>0.81030469118340409</v>
      </c>
      <c r="F63" s="137">
        <v>0.6</v>
      </c>
    </row>
    <row r="64" spans="1:6">
      <c r="A64" s="134">
        <f>表格_BOM[[#Totals],[Total Cost]]*(100%+表格_報價分析表[[#This Row],[倍率(不參考)]])</f>
        <v>5463.695999999999</v>
      </c>
      <c r="B64" s="134">
        <f>表格_報價分析表[[#This Row],[報價金額(未稅)]]-表格_BOM[[#Totals],[Total Cost]]</f>
        <v>2070.0959999999991</v>
      </c>
      <c r="C64" s="135">
        <f>表格_報價分析表[[#This Row],[利潤]]/表格_報價分析表[[#This Row],[報價金額(未稅)]]</f>
        <v>0.37888198757763963</v>
      </c>
      <c r="D64" s="134">
        <f>表格_報價分析表[[#This Row],[報價金額(未稅)]]-表格_BOM[[#Totals],[Total Cost]]+'03 成本統計表'!$F$3+'03 成本統計表'!$F$14</f>
        <v>4433.695999999999</v>
      </c>
      <c r="E64" s="136">
        <f>(D64)/表格_報價分析表[[#This Row],[報價金額(未稅)]]</f>
        <v>0.81148292291518409</v>
      </c>
      <c r="F64" s="137">
        <v>0.61</v>
      </c>
    </row>
    <row r="65" spans="1:6">
      <c r="A65" s="134">
        <f>表格_BOM[[#Totals],[Total Cost]]*(100%+表格_報價分析表[[#This Row],[倍率(不參考)]])</f>
        <v>5497.6320000000005</v>
      </c>
      <c r="B65" s="134">
        <f>表格_報價分析表[[#This Row],[報價金額(未稅)]]-表格_BOM[[#Totals],[Total Cost]]</f>
        <v>2104.0320000000006</v>
      </c>
      <c r="C65" s="135">
        <f>表格_報價分析表[[#This Row],[利潤]]/表格_報價分析表[[#This Row],[報價金額(未稅)]]</f>
        <v>0.38271604938271614</v>
      </c>
      <c r="D65" s="134">
        <f>表格_報價分析表[[#This Row],[報價金額(未稅)]]-表格_BOM[[#Totals],[Total Cost]]+'03 成本統計表'!$F$3+'03 成本統計表'!$F$14</f>
        <v>4467.6320000000014</v>
      </c>
      <c r="E65" s="136">
        <f>(D65)/表格_報價分析表[[#This Row],[報價金額(未稅)]]</f>
        <v>0.81264660857620175</v>
      </c>
      <c r="F65" s="137">
        <v>0.62</v>
      </c>
    </row>
    <row r="66" spans="1:6">
      <c r="A66" s="134">
        <f>表格_BOM[[#Totals],[Total Cost]]*(100%+表格_報價分析表[[#This Row],[倍率(不參考)]])</f>
        <v>5531.5679999999993</v>
      </c>
      <c r="B66" s="134">
        <f>表格_報價分析表[[#This Row],[報價金額(未稅)]]-表格_BOM[[#Totals],[Total Cost]]</f>
        <v>2137.9679999999994</v>
      </c>
      <c r="C66" s="135">
        <f>表格_報價分析表[[#This Row],[利潤]]/表格_報價分析表[[#This Row],[報價金額(未稅)]]</f>
        <v>0.38650306748466251</v>
      </c>
      <c r="D66" s="134">
        <f>表格_報價分析表[[#This Row],[報價金額(未稅)]]-表格_BOM[[#Totals],[Total Cost]]+'03 成本統計表'!$F$3+'03 成本統計表'!$F$14</f>
        <v>4501.5679999999993</v>
      </c>
      <c r="E66" s="136">
        <f>(D66)/表格_報價分析表[[#This Row],[報價金額(未稅)]]</f>
        <v>0.81379601588554995</v>
      </c>
      <c r="F66" s="137">
        <v>0.63</v>
      </c>
    </row>
    <row r="67" spans="1:6">
      <c r="A67" s="134">
        <f>表格_BOM[[#Totals],[Total Cost]]*(100%+表格_報價分析表[[#This Row],[倍率(不參考)]])</f>
        <v>5565.5039999999999</v>
      </c>
      <c r="B67" s="134">
        <f>表格_報價分析表[[#This Row],[報價金額(未稅)]]-表格_BOM[[#Totals],[Total Cost]]</f>
        <v>2171.904</v>
      </c>
      <c r="C67" s="135">
        <f>表格_報價分析表[[#This Row],[利潤]]/表格_報價分析表[[#This Row],[報價金額(未稅)]]</f>
        <v>0.3902439024390244</v>
      </c>
      <c r="D67" s="134">
        <f>表格_報價分析表[[#This Row],[報價金額(未稅)]]-表格_BOM[[#Totals],[Total Cost]]+'03 成本統計表'!$F$3+'03 成本統計表'!$F$14</f>
        <v>4535.5040000000008</v>
      </c>
      <c r="E67" s="136">
        <f>(D67)/表格_報價分析表[[#This Row],[報價金額(未稅)]]</f>
        <v>0.81493140603258951</v>
      </c>
      <c r="F67" s="137">
        <v>0.64</v>
      </c>
    </row>
    <row r="68" spans="1:6">
      <c r="A68" s="134">
        <f>表格_BOM[[#Totals],[Total Cost]]*(100%+表格_報價分析表[[#This Row],[倍率(不參考)]])</f>
        <v>5599.44</v>
      </c>
      <c r="B68" s="134">
        <f>表格_報價分析表[[#This Row],[報價金額(未稅)]]-表格_BOM[[#Totals],[Total Cost]]</f>
        <v>2205.8399999999997</v>
      </c>
      <c r="C68" s="135">
        <f>表格_報價分析表[[#This Row],[利潤]]/表格_報價分析表[[#This Row],[報價金額(未稅)]]</f>
        <v>0.39393939393939392</v>
      </c>
      <c r="D68" s="134">
        <f>表格_報價分析表[[#This Row],[報價金額(未稅)]]-表格_BOM[[#Totals],[Total Cost]]+'03 成本統計表'!$F$3+'03 成本統計表'!$F$14</f>
        <v>4569.4400000000005</v>
      </c>
      <c r="E68" s="136">
        <f>(D68)/表格_報價分析表[[#This Row],[報價金額(未稅)]]</f>
        <v>0.8160530338748162</v>
      </c>
      <c r="F68" s="137">
        <v>0.65</v>
      </c>
    </row>
    <row r="69" spans="1:6">
      <c r="A69" s="134">
        <f>表格_BOM[[#Totals],[Total Cost]]*(100%+表格_報價分析表[[#This Row],[倍率(不參考)]])</f>
        <v>5633.3760000000002</v>
      </c>
      <c r="B69" s="134">
        <f>表格_報價分析表[[#This Row],[報價金額(未稅)]]-表格_BOM[[#Totals],[Total Cost]]</f>
        <v>2239.7760000000003</v>
      </c>
      <c r="C69" s="135">
        <f>表格_報價分析表[[#This Row],[利潤]]/表格_報價分析表[[#This Row],[報價金額(未稅)]]</f>
        <v>0.39759036144578319</v>
      </c>
      <c r="D69" s="134">
        <f>表格_報價分析表[[#This Row],[報價金額(未稅)]]-表格_BOM[[#Totals],[Total Cost]]+'03 成本統計表'!$F$3+'03 成本統計表'!$F$14</f>
        <v>4603.3760000000002</v>
      </c>
      <c r="E69" s="136">
        <f>(D69)/表格_報價分析表[[#This Row],[報價金額(未稅)]]</f>
        <v>0.8171611481285822</v>
      </c>
      <c r="F69" s="137">
        <v>0.66</v>
      </c>
    </row>
    <row r="70" spans="1:6">
      <c r="A70" s="134">
        <f>表格_BOM[[#Totals],[Total Cost]]*(100%+表格_報價分析表[[#This Row],[倍率(不參考)]])</f>
        <v>5667.3119999999999</v>
      </c>
      <c r="B70" s="134">
        <f>表格_報價分析表[[#This Row],[報價金額(未稅)]]-表格_BOM[[#Totals],[Total Cost]]</f>
        <v>2273.712</v>
      </c>
      <c r="C70" s="135">
        <f>表格_報價分析表[[#This Row],[利潤]]/表格_報價分析表[[#This Row],[報價金額(未稅)]]</f>
        <v>0.40119760479041916</v>
      </c>
      <c r="D70" s="134">
        <f>表格_報價分析表[[#This Row],[報價金額(未稅)]]-表格_BOM[[#Totals],[Total Cost]]+'03 成本統計表'!$F$3+'03 成本統計表'!$F$14</f>
        <v>4637.3119999999999</v>
      </c>
      <c r="E70" s="136">
        <f>(D70)/表格_報價分析表[[#This Row],[報價金額(未稅)]]</f>
        <v>0.81825599155296191</v>
      </c>
      <c r="F70" s="137">
        <v>0.67</v>
      </c>
    </row>
    <row r="71" spans="1:6">
      <c r="A71" s="134">
        <f>表格_BOM[[#Totals],[Total Cost]]*(100%+表格_報價分析表[[#This Row],[倍率(不參考)]])</f>
        <v>5701.2480000000005</v>
      </c>
      <c r="B71" s="134">
        <f>表格_報價分析表[[#This Row],[報價金額(未稅)]]-表格_BOM[[#Totals],[Total Cost]]</f>
        <v>2307.6480000000006</v>
      </c>
      <c r="C71" s="135">
        <f>表格_報價分析表[[#This Row],[利潤]]/表格_報價分析表[[#This Row],[報價金額(未稅)]]</f>
        <v>0.40476190476190482</v>
      </c>
      <c r="D71" s="134">
        <f>表格_報價分析表[[#This Row],[報價金額(未稅)]]-表格_BOM[[#Totals],[Total Cost]]+'03 成本統計表'!$F$3+'03 成本統計表'!$F$14</f>
        <v>4671.2480000000014</v>
      </c>
      <c r="E71" s="136">
        <f>(D71)/表格_報價分析表[[#This Row],[報價金額(未稅)]]</f>
        <v>0.81933780112705168</v>
      </c>
      <c r="F71" s="137">
        <v>0.68</v>
      </c>
    </row>
    <row r="72" spans="1:6">
      <c r="A72" s="134">
        <f>表格_BOM[[#Totals],[Total Cost]]*(100%+表格_報價分析表[[#This Row],[倍率(不參考)]])</f>
        <v>5735.1839999999993</v>
      </c>
      <c r="B72" s="134">
        <f>表格_報價分析表[[#This Row],[報價金額(未稅)]]-表格_BOM[[#Totals],[Total Cost]]</f>
        <v>2341.5839999999994</v>
      </c>
      <c r="C72" s="135">
        <f>表格_報價分析表[[#This Row],[利潤]]/表格_報價分析表[[#This Row],[報價金額(未稅)]]</f>
        <v>0.40828402366863897</v>
      </c>
      <c r="D72" s="134">
        <f>表格_報價分析表[[#This Row],[報價金額(未稅)]]-表格_BOM[[#Totals],[Total Cost]]+'03 成本統計表'!$F$3+'03 成本統計表'!$F$14</f>
        <v>4705.1839999999993</v>
      </c>
      <c r="E72" s="136">
        <f>(D72)/表格_報價分析表[[#This Row],[報價金額(未稅)]]</f>
        <v>0.82040680822097423</v>
      </c>
      <c r="F72" s="137">
        <v>0.69</v>
      </c>
    </row>
    <row r="73" spans="1:6">
      <c r="A73" s="134">
        <f>表格_BOM[[#Totals],[Total Cost]]*(100%+表格_報價分析表[[#This Row],[倍率(不參考)]])</f>
        <v>5769.12</v>
      </c>
      <c r="B73" s="134">
        <f>表格_報價分析表[[#This Row],[報價金額(未稅)]]-表格_BOM[[#Totals],[Total Cost]]</f>
        <v>2375.52</v>
      </c>
      <c r="C73" s="135">
        <f>表格_報價分析表[[#This Row],[利潤]]/表格_報價分析表[[#This Row],[報價金額(未稅)]]</f>
        <v>0.41176470588235292</v>
      </c>
      <c r="D73" s="134">
        <f>表格_報價分析表[[#This Row],[報價金額(未稅)]]-表格_BOM[[#Totals],[Total Cost]]+'03 成本統計表'!$F$3+'03 成本統計表'!$F$14</f>
        <v>4739.1200000000008</v>
      </c>
      <c r="E73" s="136">
        <f>(D73)/表格_報價分析表[[#This Row],[報價金額(未稅)]]</f>
        <v>0.82146323876085103</v>
      </c>
      <c r="F73" s="137">
        <v>0.7</v>
      </c>
    </row>
    <row r="74" spans="1:6" ht="153.4" customHeight="1">
      <c r="A74" s="177" t="s">
        <v>178</v>
      </c>
      <c r="B74" s="177"/>
      <c r="C74" s="177"/>
      <c r="D74" s="177"/>
      <c r="E74" s="177"/>
      <c r="F74" s="177"/>
    </row>
  </sheetData>
  <mergeCells count="3">
    <mergeCell ref="A1:F1"/>
    <mergeCell ref="A74:F74"/>
    <mergeCell ref="H5:I5"/>
  </mergeCells>
  <phoneticPr fontId="35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928F-76D5-8441-AEC9-603ACB6B6E79}">
  <sheetPr>
    <tabColor rgb="FF00B050"/>
  </sheetPr>
  <dimension ref="A1:I49"/>
  <sheetViews>
    <sheetView topLeftCell="A27" workbookViewId="0">
      <selection activeCell="D13" sqref="D13"/>
    </sheetView>
  </sheetViews>
  <sheetFormatPr defaultColWidth="10.5" defaultRowHeight="18"/>
  <cols>
    <col min="1" max="1" width="12.35546875" style="80" bestFit="1" customWidth="1"/>
    <col min="2" max="2" width="20.85546875" style="80" bestFit="1" customWidth="1"/>
    <col min="3" max="3" width="26.5" style="80" customWidth="1"/>
    <col min="4" max="5" width="2.5" style="80" customWidth="1"/>
    <col min="6" max="6" width="19.640625" style="80" customWidth="1"/>
    <col min="7" max="7" width="19" style="93" bestFit="1" customWidth="1"/>
    <col min="8" max="9" width="19" style="93" customWidth="1"/>
    <col min="10" max="16384" width="10.5" style="80"/>
  </cols>
  <sheetData>
    <row r="1" spans="1:9" ht="37.5" customHeight="1">
      <c r="A1" s="181" t="str">
        <f>'01參數設定'!B4 &amp; "
標案預算"</f>
        <v xml:space="preserve">
標案預算</v>
      </c>
      <c r="B1" s="182"/>
      <c r="C1" s="182"/>
      <c r="F1" s="184" t="s">
        <v>179</v>
      </c>
      <c r="G1" s="184"/>
      <c r="H1" s="184"/>
      <c r="I1" s="185"/>
    </row>
    <row r="2" spans="1:9" ht="27.75" customHeight="1">
      <c r="A2" s="183"/>
      <c r="B2" s="183"/>
      <c r="C2" s="183"/>
      <c r="F2" s="186" t="s">
        <v>159</v>
      </c>
      <c r="G2" s="187"/>
      <c r="H2" s="188" t="s">
        <v>180</v>
      </c>
      <c r="I2" s="189"/>
    </row>
    <row r="3" spans="1:9" ht="21">
      <c r="A3" s="81" t="s">
        <v>181</v>
      </c>
      <c r="B3" s="81" t="s">
        <v>182</v>
      </c>
      <c r="C3" s="81" t="s">
        <v>183</v>
      </c>
      <c r="F3" s="190">
        <f>表格_BOM[[#Totals],[Total Cost]]</f>
        <v>3393.6</v>
      </c>
      <c r="G3" s="191"/>
      <c r="H3" s="190">
        <f>SUM('03 成本統計表'!$F$4:$F$12)+'03 成本統計表'!$F$15</f>
        <v>1030</v>
      </c>
      <c r="I3" s="191"/>
    </row>
    <row r="4" spans="1:9">
      <c r="A4" s="82">
        <v>1</v>
      </c>
      <c r="B4" s="83">
        <f>'01參數設定'!B5</f>
        <v>1000000</v>
      </c>
      <c r="C4" s="83">
        <f>B4*1.05</f>
        <v>1050000</v>
      </c>
      <c r="F4" s="84" t="s">
        <v>162</v>
      </c>
      <c r="G4" s="84" t="s">
        <v>184</v>
      </c>
      <c r="H4" s="84" t="s">
        <v>164</v>
      </c>
      <c r="I4" s="84" t="s">
        <v>185</v>
      </c>
    </row>
    <row r="5" spans="1:9">
      <c r="A5" s="85">
        <v>0.99</v>
      </c>
      <c r="B5" s="86">
        <f>$B$4*A5</f>
        <v>990000</v>
      </c>
      <c r="C5" s="86">
        <f t="shared" ref="C5:C44" si="0">B5*1.05</f>
        <v>1039500</v>
      </c>
      <c r="D5" s="87"/>
      <c r="E5" s="87"/>
      <c r="F5" s="88">
        <f>B5-$F$3</f>
        <v>986606.4</v>
      </c>
      <c r="G5" s="89">
        <f t="shared" ref="G5:G44" si="1">($B5-$F$3)/$B5</f>
        <v>0.99657212121212124</v>
      </c>
      <c r="H5" s="90">
        <f>B5-$H$3</f>
        <v>988970</v>
      </c>
      <c r="I5" s="89">
        <f>H5/B5</f>
        <v>0.99895959595959594</v>
      </c>
    </row>
    <row r="6" spans="1:9">
      <c r="A6" s="85">
        <v>0.98</v>
      </c>
      <c r="B6" s="86">
        <f t="shared" ref="B6:B44" si="2">$B$4*A6</f>
        <v>980000</v>
      </c>
      <c r="C6" s="86">
        <f t="shared" si="0"/>
        <v>1029000</v>
      </c>
      <c r="D6" s="87"/>
      <c r="E6" s="87"/>
      <c r="F6" s="88">
        <f t="shared" ref="F6:F44" si="3">B6-$F$3</f>
        <v>976606.4</v>
      </c>
      <c r="G6" s="89">
        <f t="shared" si="1"/>
        <v>0.9965371428571429</v>
      </c>
      <c r="H6" s="90">
        <f t="shared" ref="H6:H44" si="4">B6-$H$3</f>
        <v>978970</v>
      </c>
      <c r="I6" s="89">
        <f>H6/B6</f>
        <v>0.99894897959183671</v>
      </c>
    </row>
    <row r="7" spans="1:9">
      <c r="A7" s="85">
        <v>0.97</v>
      </c>
      <c r="B7" s="86">
        <f t="shared" si="2"/>
        <v>970000</v>
      </c>
      <c r="C7" s="86">
        <f t="shared" si="0"/>
        <v>1018500</v>
      </c>
      <c r="D7" s="87"/>
      <c r="E7" s="87"/>
      <c r="F7" s="88">
        <f t="shared" si="3"/>
        <v>966606.4</v>
      </c>
      <c r="G7" s="89">
        <f t="shared" si="1"/>
        <v>0.99650144329896906</v>
      </c>
      <c r="H7" s="90">
        <f t="shared" si="4"/>
        <v>968970</v>
      </c>
      <c r="I7" s="89">
        <f t="shared" ref="I7:I44" si="5">H7/B7</f>
        <v>0.99893814432989692</v>
      </c>
    </row>
    <row r="8" spans="1:9">
      <c r="A8" s="85">
        <v>0.96</v>
      </c>
      <c r="B8" s="86">
        <f t="shared" si="2"/>
        <v>960000</v>
      </c>
      <c r="C8" s="86">
        <f t="shared" si="0"/>
        <v>1008000</v>
      </c>
      <c r="D8" s="87"/>
      <c r="E8" s="87"/>
      <c r="F8" s="88">
        <f t="shared" si="3"/>
        <v>956606.4</v>
      </c>
      <c r="G8" s="89">
        <f t="shared" si="1"/>
        <v>0.99646500000000005</v>
      </c>
      <c r="H8" s="90">
        <f t="shared" si="4"/>
        <v>958970</v>
      </c>
      <c r="I8" s="89">
        <f t="shared" si="5"/>
        <v>0.99892708333333335</v>
      </c>
    </row>
    <row r="9" spans="1:9">
      <c r="A9" s="82">
        <v>0.95</v>
      </c>
      <c r="B9" s="83">
        <f t="shared" si="2"/>
        <v>950000</v>
      </c>
      <c r="C9" s="83">
        <f t="shared" si="0"/>
        <v>997500</v>
      </c>
      <c r="F9" s="88">
        <f t="shared" si="3"/>
        <v>946606.4</v>
      </c>
      <c r="G9" s="89">
        <f t="shared" si="1"/>
        <v>0.99642778947368427</v>
      </c>
      <c r="H9" s="90">
        <f t="shared" si="4"/>
        <v>948970</v>
      </c>
      <c r="I9" s="89">
        <f t="shared" si="5"/>
        <v>0.9989157894736842</v>
      </c>
    </row>
    <row r="10" spans="1:9">
      <c r="A10" s="82">
        <v>0.94</v>
      </c>
      <c r="B10" s="83">
        <f t="shared" si="2"/>
        <v>940000</v>
      </c>
      <c r="C10" s="83">
        <f t="shared" si="0"/>
        <v>987000</v>
      </c>
      <c r="F10" s="88">
        <f t="shared" si="3"/>
        <v>936606.4</v>
      </c>
      <c r="G10" s="89">
        <f t="shared" si="1"/>
        <v>0.99638978723404259</v>
      </c>
      <c r="H10" s="90">
        <f t="shared" si="4"/>
        <v>938970</v>
      </c>
      <c r="I10" s="89">
        <f t="shared" si="5"/>
        <v>0.99890425531914895</v>
      </c>
    </row>
    <row r="11" spans="1:9">
      <c r="A11" s="82">
        <v>0.93</v>
      </c>
      <c r="B11" s="83">
        <f t="shared" si="2"/>
        <v>930000</v>
      </c>
      <c r="C11" s="83">
        <f t="shared" si="0"/>
        <v>976500</v>
      </c>
      <c r="F11" s="88">
        <f t="shared" si="3"/>
        <v>926606.4</v>
      </c>
      <c r="G11" s="89">
        <f t="shared" si="1"/>
        <v>0.99635096774193554</v>
      </c>
      <c r="H11" s="90">
        <f t="shared" si="4"/>
        <v>928970</v>
      </c>
      <c r="I11" s="89">
        <f t="shared" si="5"/>
        <v>0.99889247311827956</v>
      </c>
    </row>
    <row r="12" spans="1:9">
      <c r="A12" s="82">
        <v>0.92</v>
      </c>
      <c r="B12" s="83">
        <f t="shared" si="2"/>
        <v>920000</v>
      </c>
      <c r="C12" s="83">
        <f t="shared" si="0"/>
        <v>966000</v>
      </c>
      <c r="F12" s="88">
        <f t="shared" si="3"/>
        <v>916606.4</v>
      </c>
      <c r="G12" s="89">
        <f t="shared" si="1"/>
        <v>0.99631130434782611</v>
      </c>
      <c r="H12" s="90">
        <f t="shared" si="4"/>
        <v>918970</v>
      </c>
      <c r="I12" s="89">
        <f t="shared" si="5"/>
        <v>0.99888043478260868</v>
      </c>
    </row>
    <row r="13" spans="1:9">
      <c r="A13" s="82">
        <v>0.91</v>
      </c>
      <c r="B13" s="83">
        <f t="shared" si="2"/>
        <v>910000</v>
      </c>
      <c r="C13" s="83">
        <f t="shared" si="0"/>
        <v>955500</v>
      </c>
      <c r="F13" s="88">
        <f t="shared" si="3"/>
        <v>906606.4</v>
      </c>
      <c r="G13" s="89">
        <f t="shared" si="1"/>
        <v>0.99627076923076929</v>
      </c>
      <c r="H13" s="90">
        <f t="shared" si="4"/>
        <v>908970</v>
      </c>
      <c r="I13" s="89">
        <f t="shared" si="5"/>
        <v>0.99886813186813184</v>
      </c>
    </row>
    <row r="14" spans="1:9">
      <c r="A14" s="82">
        <v>0.9</v>
      </c>
      <c r="B14" s="83">
        <f t="shared" si="2"/>
        <v>900000</v>
      </c>
      <c r="C14" s="83">
        <f t="shared" si="0"/>
        <v>945000</v>
      </c>
      <c r="F14" s="88">
        <f t="shared" si="3"/>
        <v>896606.4</v>
      </c>
      <c r="G14" s="89">
        <f t="shared" si="1"/>
        <v>0.99622933333333341</v>
      </c>
      <c r="H14" s="90">
        <f t="shared" si="4"/>
        <v>898970</v>
      </c>
      <c r="I14" s="89">
        <f t="shared" si="5"/>
        <v>0.99885555555555561</v>
      </c>
    </row>
    <row r="15" spans="1:9">
      <c r="A15" s="82">
        <f>A5-0.01</f>
        <v>0.98</v>
      </c>
      <c r="B15" s="83">
        <f t="shared" si="2"/>
        <v>980000</v>
      </c>
      <c r="C15" s="83">
        <f t="shared" si="0"/>
        <v>1029000</v>
      </c>
      <c r="F15" s="88">
        <f t="shared" si="3"/>
        <v>976606.4</v>
      </c>
      <c r="G15" s="89">
        <f t="shared" si="1"/>
        <v>0.9965371428571429</v>
      </c>
      <c r="H15" s="90">
        <f t="shared" si="4"/>
        <v>978970</v>
      </c>
      <c r="I15" s="89">
        <f t="shared" si="5"/>
        <v>0.99894897959183671</v>
      </c>
    </row>
    <row r="16" spans="1:9">
      <c r="A16" s="82">
        <f t="shared" ref="A16:A43" si="6">A15-0.01</f>
        <v>0.97</v>
      </c>
      <c r="B16" s="83">
        <f t="shared" si="2"/>
        <v>970000</v>
      </c>
      <c r="C16" s="83">
        <f t="shared" si="0"/>
        <v>1018500</v>
      </c>
      <c r="F16" s="88">
        <f t="shared" si="3"/>
        <v>966606.4</v>
      </c>
      <c r="G16" s="89">
        <f t="shared" si="1"/>
        <v>0.99650144329896906</v>
      </c>
      <c r="H16" s="90">
        <f t="shared" si="4"/>
        <v>968970</v>
      </c>
      <c r="I16" s="89">
        <f t="shared" si="5"/>
        <v>0.99893814432989692</v>
      </c>
    </row>
    <row r="17" spans="1:9">
      <c r="A17" s="82">
        <f t="shared" si="6"/>
        <v>0.96</v>
      </c>
      <c r="B17" s="83">
        <f t="shared" si="2"/>
        <v>960000</v>
      </c>
      <c r="C17" s="83">
        <f t="shared" si="0"/>
        <v>1008000</v>
      </c>
      <c r="F17" s="88">
        <f t="shared" si="3"/>
        <v>956606.4</v>
      </c>
      <c r="G17" s="89">
        <f t="shared" si="1"/>
        <v>0.99646500000000005</v>
      </c>
      <c r="H17" s="90">
        <f t="shared" si="4"/>
        <v>958970</v>
      </c>
      <c r="I17" s="89">
        <f t="shared" si="5"/>
        <v>0.99892708333333335</v>
      </c>
    </row>
    <row r="18" spans="1:9">
      <c r="A18" s="82">
        <f t="shared" si="6"/>
        <v>0.95</v>
      </c>
      <c r="B18" s="83">
        <f t="shared" si="2"/>
        <v>950000</v>
      </c>
      <c r="C18" s="83">
        <f t="shared" si="0"/>
        <v>997500</v>
      </c>
      <c r="F18" s="88">
        <f t="shared" si="3"/>
        <v>946606.4</v>
      </c>
      <c r="G18" s="89">
        <f t="shared" si="1"/>
        <v>0.99642778947368427</v>
      </c>
      <c r="H18" s="90">
        <f t="shared" si="4"/>
        <v>948970</v>
      </c>
      <c r="I18" s="89">
        <f t="shared" si="5"/>
        <v>0.9989157894736842</v>
      </c>
    </row>
    <row r="19" spans="1:9">
      <c r="A19" s="82">
        <f t="shared" si="6"/>
        <v>0.94</v>
      </c>
      <c r="B19" s="83">
        <f t="shared" si="2"/>
        <v>940000</v>
      </c>
      <c r="C19" s="83">
        <f t="shared" si="0"/>
        <v>987000</v>
      </c>
      <c r="F19" s="88">
        <f t="shared" si="3"/>
        <v>936606.4</v>
      </c>
      <c r="G19" s="89">
        <f t="shared" si="1"/>
        <v>0.99638978723404259</v>
      </c>
      <c r="H19" s="90">
        <f t="shared" si="4"/>
        <v>938970</v>
      </c>
      <c r="I19" s="89">
        <f t="shared" si="5"/>
        <v>0.99890425531914895</v>
      </c>
    </row>
    <row r="20" spans="1:9">
      <c r="A20" s="82">
        <f t="shared" si="6"/>
        <v>0.92999999999999994</v>
      </c>
      <c r="B20" s="83">
        <f t="shared" si="2"/>
        <v>929999.99999999988</v>
      </c>
      <c r="C20" s="83">
        <f t="shared" si="0"/>
        <v>976499.99999999988</v>
      </c>
      <c r="F20" s="88">
        <f t="shared" si="3"/>
        <v>926606.39999999991</v>
      </c>
      <c r="G20" s="89">
        <f t="shared" si="1"/>
        <v>0.99635096774193554</v>
      </c>
      <c r="H20" s="90">
        <f t="shared" si="4"/>
        <v>928969.99999999988</v>
      </c>
      <c r="I20" s="89">
        <f t="shared" si="5"/>
        <v>0.99889247311827956</v>
      </c>
    </row>
    <row r="21" spans="1:9">
      <c r="A21" s="82">
        <f t="shared" si="6"/>
        <v>0.91999999999999993</v>
      </c>
      <c r="B21" s="83">
        <f t="shared" si="2"/>
        <v>919999.99999999988</v>
      </c>
      <c r="C21" s="83">
        <f t="shared" si="0"/>
        <v>965999.99999999988</v>
      </c>
      <c r="F21" s="88">
        <f t="shared" si="3"/>
        <v>916606.39999999991</v>
      </c>
      <c r="G21" s="89">
        <f t="shared" si="1"/>
        <v>0.99631130434782611</v>
      </c>
      <c r="H21" s="90">
        <f t="shared" si="4"/>
        <v>918969.99999999988</v>
      </c>
      <c r="I21" s="89">
        <f t="shared" si="5"/>
        <v>0.99888043478260868</v>
      </c>
    </row>
    <row r="22" spans="1:9">
      <c r="A22" s="82">
        <f t="shared" si="6"/>
        <v>0.90999999999999992</v>
      </c>
      <c r="B22" s="83">
        <f t="shared" si="2"/>
        <v>909999.99999999988</v>
      </c>
      <c r="C22" s="83">
        <f t="shared" si="0"/>
        <v>955499.99999999988</v>
      </c>
      <c r="F22" s="88">
        <f t="shared" si="3"/>
        <v>906606.39999999991</v>
      </c>
      <c r="G22" s="89">
        <f t="shared" si="1"/>
        <v>0.99627076923076929</v>
      </c>
      <c r="H22" s="90">
        <f t="shared" si="4"/>
        <v>908969.99999999988</v>
      </c>
      <c r="I22" s="89">
        <f t="shared" si="5"/>
        <v>0.99886813186813184</v>
      </c>
    </row>
    <row r="23" spans="1:9">
      <c r="A23" s="82">
        <f t="shared" si="6"/>
        <v>0.89999999999999991</v>
      </c>
      <c r="B23" s="83">
        <f t="shared" si="2"/>
        <v>899999.99999999988</v>
      </c>
      <c r="C23" s="83">
        <f t="shared" si="0"/>
        <v>944999.99999999988</v>
      </c>
      <c r="F23" s="88">
        <f t="shared" si="3"/>
        <v>896606.39999999991</v>
      </c>
      <c r="G23" s="89">
        <f t="shared" si="1"/>
        <v>0.99622933333333341</v>
      </c>
      <c r="H23" s="90">
        <f t="shared" si="4"/>
        <v>898969.99999999988</v>
      </c>
      <c r="I23" s="89">
        <f t="shared" si="5"/>
        <v>0.99885555555555561</v>
      </c>
    </row>
    <row r="24" spans="1:9">
      <c r="A24" s="91">
        <f t="shared" si="6"/>
        <v>0.8899999999999999</v>
      </c>
      <c r="B24" s="92">
        <f t="shared" si="2"/>
        <v>889999.99999999988</v>
      </c>
      <c r="C24" s="92">
        <f t="shared" si="0"/>
        <v>934499.99999999988</v>
      </c>
      <c r="F24" s="88">
        <f t="shared" si="3"/>
        <v>886606.39999999991</v>
      </c>
      <c r="G24" s="89">
        <f t="shared" si="1"/>
        <v>0.99618696629213488</v>
      </c>
      <c r="H24" s="90">
        <f t="shared" si="4"/>
        <v>888969.99999999988</v>
      </c>
      <c r="I24" s="89">
        <f t="shared" si="5"/>
        <v>0.99884269662921343</v>
      </c>
    </row>
    <row r="25" spans="1:9">
      <c r="A25" s="82">
        <f t="shared" si="6"/>
        <v>0.87999999999999989</v>
      </c>
      <c r="B25" s="83">
        <f t="shared" si="2"/>
        <v>879999.99999999988</v>
      </c>
      <c r="C25" s="83">
        <f t="shared" si="0"/>
        <v>923999.99999999988</v>
      </c>
      <c r="F25" s="88">
        <f t="shared" si="3"/>
        <v>876606.39999999991</v>
      </c>
      <c r="G25" s="89">
        <f t="shared" si="1"/>
        <v>0.99614363636363634</v>
      </c>
      <c r="H25" s="90">
        <f t="shared" si="4"/>
        <v>878969.99999999988</v>
      </c>
      <c r="I25" s="89">
        <f t="shared" si="5"/>
        <v>0.9988295454545455</v>
      </c>
    </row>
    <row r="26" spans="1:9">
      <c r="A26" s="82">
        <f t="shared" si="6"/>
        <v>0.86999999999999988</v>
      </c>
      <c r="B26" s="83">
        <f t="shared" si="2"/>
        <v>869999.99999999988</v>
      </c>
      <c r="C26" s="83">
        <f t="shared" si="0"/>
        <v>913499.99999999988</v>
      </c>
      <c r="F26" s="88">
        <f t="shared" si="3"/>
        <v>866606.39999999991</v>
      </c>
      <c r="G26" s="89">
        <f t="shared" si="1"/>
        <v>0.99609931034482757</v>
      </c>
      <c r="H26" s="90">
        <f t="shared" si="4"/>
        <v>868969.99999999988</v>
      </c>
      <c r="I26" s="89">
        <f t="shared" si="5"/>
        <v>0.99881609195402299</v>
      </c>
    </row>
    <row r="27" spans="1:9">
      <c r="A27" s="82">
        <f t="shared" si="6"/>
        <v>0.85999999999999988</v>
      </c>
      <c r="B27" s="83">
        <f t="shared" si="2"/>
        <v>859999.99999999988</v>
      </c>
      <c r="C27" s="83">
        <f t="shared" si="0"/>
        <v>902999.99999999988</v>
      </c>
      <c r="F27" s="88">
        <f t="shared" si="3"/>
        <v>856606.39999999991</v>
      </c>
      <c r="G27" s="89">
        <f t="shared" si="1"/>
        <v>0.99605395348837211</v>
      </c>
      <c r="H27" s="90">
        <f t="shared" si="4"/>
        <v>858969.99999999988</v>
      </c>
      <c r="I27" s="89">
        <f t="shared" si="5"/>
        <v>0.99880232558139537</v>
      </c>
    </row>
    <row r="28" spans="1:9">
      <c r="A28" s="82">
        <f t="shared" si="6"/>
        <v>0.84999999999999987</v>
      </c>
      <c r="B28" s="83">
        <f t="shared" si="2"/>
        <v>849999.99999999988</v>
      </c>
      <c r="C28" s="83">
        <f t="shared" si="0"/>
        <v>892499.99999999988</v>
      </c>
      <c r="F28" s="88">
        <f t="shared" si="3"/>
        <v>846606.39999999991</v>
      </c>
      <c r="G28" s="89">
        <f t="shared" si="1"/>
        <v>0.99600752941176474</v>
      </c>
      <c r="H28" s="90">
        <f t="shared" si="4"/>
        <v>848969.99999999988</v>
      </c>
      <c r="I28" s="89">
        <f t="shared" si="5"/>
        <v>0.99878823529411764</v>
      </c>
    </row>
    <row r="29" spans="1:9">
      <c r="A29" s="82">
        <f t="shared" si="6"/>
        <v>0.83999999999999986</v>
      </c>
      <c r="B29" s="83">
        <f t="shared" si="2"/>
        <v>839999.99999999988</v>
      </c>
      <c r="C29" s="83">
        <f t="shared" si="0"/>
        <v>881999.99999999988</v>
      </c>
      <c r="F29" s="88">
        <f t="shared" si="3"/>
        <v>836606.39999999991</v>
      </c>
      <c r="G29" s="89">
        <f t="shared" si="1"/>
        <v>0.99596000000000007</v>
      </c>
      <c r="H29" s="90">
        <f t="shared" si="4"/>
        <v>838969.99999999988</v>
      </c>
      <c r="I29" s="89">
        <f t="shared" si="5"/>
        <v>0.99877380952380956</v>
      </c>
    </row>
    <row r="30" spans="1:9">
      <c r="A30" s="82">
        <f>A29-0.01</f>
        <v>0.82999999999999985</v>
      </c>
      <c r="B30" s="83">
        <f t="shared" si="2"/>
        <v>829999.99999999988</v>
      </c>
      <c r="C30" s="83">
        <f t="shared" si="0"/>
        <v>871499.99999999988</v>
      </c>
      <c r="F30" s="88">
        <f t="shared" si="3"/>
        <v>826606.39999999991</v>
      </c>
      <c r="G30" s="89">
        <f t="shared" si="1"/>
        <v>0.99591132530120485</v>
      </c>
      <c r="H30" s="90">
        <f t="shared" si="4"/>
        <v>828969.99999999988</v>
      </c>
      <c r="I30" s="89">
        <f t="shared" si="5"/>
        <v>0.99875903614457828</v>
      </c>
    </row>
    <row r="31" spans="1:9">
      <c r="A31" s="82">
        <f t="shared" si="6"/>
        <v>0.81999999999999984</v>
      </c>
      <c r="B31" s="83">
        <f t="shared" si="2"/>
        <v>819999.99999999988</v>
      </c>
      <c r="C31" s="83">
        <f t="shared" si="0"/>
        <v>860999.99999999988</v>
      </c>
      <c r="F31" s="88">
        <f t="shared" si="3"/>
        <v>816606.39999999991</v>
      </c>
      <c r="G31" s="89">
        <f t="shared" si="1"/>
        <v>0.99586146341463422</v>
      </c>
      <c r="H31" s="90">
        <f t="shared" si="4"/>
        <v>818969.99999999988</v>
      </c>
      <c r="I31" s="89">
        <f t="shared" si="5"/>
        <v>0.99874390243902444</v>
      </c>
    </row>
    <row r="32" spans="1:9">
      <c r="A32" s="82">
        <f t="shared" si="6"/>
        <v>0.80999999999999983</v>
      </c>
      <c r="B32" s="83">
        <f t="shared" si="2"/>
        <v>809999.99999999988</v>
      </c>
      <c r="C32" s="83">
        <f t="shared" si="0"/>
        <v>850499.99999999988</v>
      </c>
      <c r="F32" s="88">
        <f t="shared" si="3"/>
        <v>806606.39999999991</v>
      </c>
      <c r="G32" s="89">
        <f t="shared" si="1"/>
        <v>0.99581037037037035</v>
      </c>
      <c r="H32" s="90">
        <f t="shared" si="4"/>
        <v>808969.99999999988</v>
      </c>
      <c r="I32" s="89">
        <f t="shared" si="5"/>
        <v>0.99872839506172839</v>
      </c>
    </row>
    <row r="33" spans="1:9">
      <c r="A33" s="82">
        <f t="shared" si="6"/>
        <v>0.79999999999999982</v>
      </c>
      <c r="B33" s="83">
        <f t="shared" si="2"/>
        <v>799999.99999999977</v>
      </c>
      <c r="C33" s="83">
        <f t="shared" si="0"/>
        <v>839999.99999999977</v>
      </c>
      <c r="F33" s="88">
        <f t="shared" si="3"/>
        <v>796606.39999999979</v>
      </c>
      <c r="G33" s="89">
        <f t="shared" si="1"/>
        <v>0.99575800000000003</v>
      </c>
      <c r="H33" s="90">
        <f t="shared" si="4"/>
        <v>798969.99999999977</v>
      </c>
      <c r="I33" s="89">
        <f t="shared" si="5"/>
        <v>0.9987125</v>
      </c>
    </row>
    <row r="34" spans="1:9">
      <c r="A34" s="82">
        <f t="shared" si="6"/>
        <v>0.78999999999999981</v>
      </c>
      <c r="B34" s="83">
        <f t="shared" si="2"/>
        <v>789999.99999999977</v>
      </c>
      <c r="C34" s="83">
        <f t="shared" si="0"/>
        <v>829499.99999999977</v>
      </c>
      <c r="F34" s="88">
        <f t="shared" si="3"/>
        <v>786606.39999999979</v>
      </c>
      <c r="G34" s="89">
        <f t="shared" si="1"/>
        <v>0.99570430379746844</v>
      </c>
      <c r="H34" s="90">
        <f t="shared" si="4"/>
        <v>788969.99999999977</v>
      </c>
      <c r="I34" s="89">
        <f t="shared" si="5"/>
        <v>0.99869620253164559</v>
      </c>
    </row>
    <row r="35" spans="1:9">
      <c r="A35" s="82">
        <f t="shared" si="6"/>
        <v>0.7799999999999998</v>
      </c>
      <c r="B35" s="83">
        <f t="shared" si="2"/>
        <v>779999.99999999977</v>
      </c>
      <c r="C35" s="83">
        <f t="shared" si="0"/>
        <v>818999.99999999977</v>
      </c>
      <c r="F35" s="88">
        <f t="shared" si="3"/>
        <v>776606.39999999979</v>
      </c>
      <c r="G35" s="89">
        <f t="shared" si="1"/>
        <v>0.99564923076923084</v>
      </c>
      <c r="H35" s="90">
        <f t="shared" si="4"/>
        <v>778969.99999999977</v>
      </c>
      <c r="I35" s="89">
        <f t="shared" si="5"/>
        <v>0.99867948717948718</v>
      </c>
    </row>
    <row r="36" spans="1:9">
      <c r="A36" s="82">
        <f t="shared" si="6"/>
        <v>0.7699999999999998</v>
      </c>
      <c r="B36" s="83">
        <f t="shared" si="2"/>
        <v>769999.99999999977</v>
      </c>
      <c r="C36" s="83">
        <f t="shared" si="0"/>
        <v>808499.99999999977</v>
      </c>
      <c r="F36" s="88">
        <f t="shared" si="3"/>
        <v>766606.39999999979</v>
      </c>
      <c r="G36" s="89">
        <f t="shared" si="1"/>
        <v>0.9955927272727273</v>
      </c>
      <c r="H36" s="90">
        <f t="shared" si="4"/>
        <v>768969.99999999977</v>
      </c>
      <c r="I36" s="89">
        <f t="shared" si="5"/>
        <v>0.9986623376623377</v>
      </c>
    </row>
    <row r="37" spans="1:9">
      <c r="A37" s="82">
        <f t="shared" si="6"/>
        <v>0.75999999999999979</v>
      </c>
      <c r="B37" s="83">
        <f t="shared" si="2"/>
        <v>759999.99999999977</v>
      </c>
      <c r="C37" s="83">
        <f t="shared" si="0"/>
        <v>797999.99999999977</v>
      </c>
      <c r="F37" s="88">
        <f t="shared" si="3"/>
        <v>756606.39999999979</v>
      </c>
      <c r="G37" s="89">
        <f t="shared" si="1"/>
        <v>0.99553473684210525</v>
      </c>
      <c r="H37" s="90">
        <f t="shared" si="4"/>
        <v>758969.99999999977</v>
      </c>
      <c r="I37" s="89">
        <f t="shared" si="5"/>
        <v>0.99864473684210531</v>
      </c>
    </row>
    <row r="38" spans="1:9">
      <c r="A38" s="82">
        <f t="shared" si="6"/>
        <v>0.74999999999999978</v>
      </c>
      <c r="B38" s="83">
        <f t="shared" si="2"/>
        <v>749999.99999999977</v>
      </c>
      <c r="C38" s="83">
        <f t="shared" si="0"/>
        <v>787499.99999999977</v>
      </c>
      <c r="F38" s="88">
        <f t="shared" si="3"/>
        <v>746606.39999999979</v>
      </c>
      <c r="G38" s="89">
        <f t="shared" si="1"/>
        <v>0.9954752</v>
      </c>
      <c r="H38" s="90">
        <f t="shared" si="4"/>
        <v>748969.99999999977</v>
      </c>
      <c r="I38" s="89">
        <f t="shared" si="5"/>
        <v>0.99862666666666666</v>
      </c>
    </row>
    <row r="39" spans="1:9">
      <c r="A39" s="82">
        <f>A38-0.01</f>
        <v>0.73999999999999977</v>
      </c>
      <c r="B39" s="83">
        <f t="shared" si="2"/>
        <v>739999.99999999977</v>
      </c>
      <c r="C39" s="83">
        <f t="shared" si="0"/>
        <v>776999.99999999977</v>
      </c>
      <c r="F39" s="88">
        <f t="shared" si="3"/>
        <v>736606.39999999979</v>
      </c>
      <c r="G39" s="89">
        <f t="shared" si="1"/>
        <v>0.99541405405405403</v>
      </c>
      <c r="H39" s="90">
        <f t="shared" si="4"/>
        <v>738969.99999999977</v>
      </c>
      <c r="I39" s="89">
        <f t="shared" si="5"/>
        <v>0.99860810810810807</v>
      </c>
    </row>
    <row r="40" spans="1:9">
      <c r="A40" s="82">
        <f t="shared" si="6"/>
        <v>0.72999999999999976</v>
      </c>
      <c r="B40" s="83">
        <f t="shared" si="2"/>
        <v>729999.99999999977</v>
      </c>
      <c r="C40" s="83">
        <f t="shared" si="0"/>
        <v>766499.99999999977</v>
      </c>
      <c r="F40" s="88">
        <f t="shared" si="3"/>
        <v>726606.39999999979</v>
      </c>
      <c r="G40" s="89">
        <f t="shared" si="1"/>
        <v>0.99535123287671234</v>
      </c>
      <c r="H40" s="90">
        <f t="shared" si="4"/>
        <v>728969.99999999977</v>
      </c>
      <c r="I40" s="89">
        <f t="shared" si="5"/>
        <v>0.99858904109589042</v>
      </c>
    </row>
    <row r="41" spans="1:9">
      <c r="A41" s="82">
        <f t="shared" si="6"/>
        <v>0.71999999999999975</v>
      </c>
      <c r="B41" s="83">
        <f t="shared" si="2"/>
        <v>719999.99999999977</v>
      </c>
      <c r="C41" s="83">
        <f t="shared" si="0"/>
        <v>755999.99999999977</v>
      </c>
      <c r="F41" s="88">
        <f t="shared" si="3"/>
        <v>716606.39999999979</v>
      </c>
      <c r="G41" s="89">
        <f t="shared" si="1"/>
        <v>0.99528666666666665</v>
      </c>
      <c r="H41" s="90">
        <f t="shared" si="4"/>
        <v>718969.99999999977</v>
      </c>
      <c r="I41" s="89">
        <f t="shared" si="5"/>
        <v>0.9985694444444444</v>
      </c>
    </row>
    <row r="42" spans="1:9">
      <c r="A42" s="82">
        <f>A41-0.01</f>
        <v>0.70999999999999974</v>
      </c>
      <c r="B42" s="83">
        <f t="shared" si="2"/>
        <v>709999.99999999977</v>
      </c>
      <c r="C42" s="83">
        <f t="shared" si="0"/>
        <v>745499.99999999977</v>
      </c>
      <c r="F42" s="88">
        <f t="shared" si="3"/>
        <v>706606.39999999979</v>
      </c>
      <c r="G42" s="89">
        <f t="shared" si="1"/>
        <v>0.99522028169014087</v>
      </c>
      <c r="H42" s="90">
        <f t="shared" si="4"/>
        <v>708969.99999999977</v>
      </c>
      <c r="I42" s="89">
        <f t="shared" si="5"/>
        <v>0.9985492957746479</v>
      </c>
    </row>
    <row r="43" spans="1:9">
      <c r="A43" s="82">
        <f t="shared" si="6"/>
        <v>0.69999999999999973</v>
      </c>
      <c r="B43" s="83">
        <f t="shared" si="2"/>
        <v>699999.99999999977</v>
      </c>
      <c r="C43" s="83">
        <f t="shared" si="0"/>
        <v>734999.99999999977</v>
      </c>
      <c r="F43" s="88">
        <f t="shared" si="3"/>
        <v>696606.39999999979</v>
      </c>
      <c r="G43" s="89">
        <f t="shared" si="1"/>
        <v>0.99515200000000004</v>
      </c>
      <c r="H43" s="90">
        <f t="shared" si="4"/>
        <v>698969.99999999977</v>
      </c>
      <c r="I43" s="89">
        <f t="shared" si="5"/>
        <v>0.99852857142857143</v>
      </c>
    </row>
    <row r="44" spans="1:9">
      <c r="A44" s="82">
        <f>A43-0.01</f>
        <v>0.68999999999999972</v>
      </c>
      <c r="B44" s="83">
        <f t="shared" si="2"/>
        <v>689999.99999999977</v>
      </c>
      <c r="C44" s="83">
        <f t="shared" si="0"/>
        <v>724499.99999999977</v>
      </c>
      <c r="F44" s="88">
        <f t="shared" si="3"/>
        <v>686606.39999999979</v>
      </c>
      <c r="G44" s="89">
        <f t="shared" si="1"/>
        <v>0.99508173913043485</v>
      </c>
      <c r="H44" s="90">
        <f t="shared" si="4"/>
        <v>688969.99999999977</v>
      </c>
      <c r="I44" s="89">
        <f t="shared" si="5"/>
        <v>0.99850724637681154</v>
      </c>
    </row>
    <row r="45" spans="1:9">
      <c r="A45" s="179" t="s">
        <v>186</v>
      </c>
      <c r="B45" s="180"/>
      <c r="C45" s="180"/>
    </row>
    <row r="46" spans="1:9">
      <c r="G46" s="80"/>
      <c r="H46" s="80"/>
      <c r="I46" s="80"/>
    </row>
    <row r="47" spans="1:9">
      <c r="G47" s="80"/>
      <c r="H47" s="80"/>
      <c r="I47" s="80"/>
    </row>
    <row r="48" spans="1:9">
      <c r="G48" s="80"/>
      <c r="H48" s="80"/>
      <c r="I48" s="80"/>
    </row>
    <row r="49" s="80" customFormat="1"/>
  </sheetData>
  <mergeCells count="7">
    <mergeCell ref="A45:C45"/>
    <mergeCell ref="A1:C2"/>
    <mergeCell ref="F1:I1"/>
    <mergeCell ref="F2:G2"/>
    <mergeCell ref="H2:I2"/>
    <mergeCell ref="F3:G3"/>
    <mergeCell ref="H3:I3"/>
  </mergeCells>
  <phoneticPr fontId="35" type="noConversion"/>
  <conditionalFormatting sqref="G5:I44">
    <cfRule type="cellIs" dxfId="0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M21"/>
  <sheetViews>
    <sheetView topLeftCell="A37" workbookViewId="0">
      <selection activeCell="G13" sqref="G13"/>
    </sheetView>
  </sheetViews>
  <sheetFormatPr defaultColWidth="9" defaultRowHeight="13.9"/>
  <cols>
    <col min="1" max="4" width="9" style="1"/>
    <col min="5" max="5" width="18.35546875" style="1" customWidth="1"/>
    <col min="6" max="10" width="9" style="1"/>
    <col min="11" max="12" width="12" style="1" customWidth="1"/>
    <col min="13" max="13" width="14" style="1" bestFit="1" customWidth="1"/>
    <col min="14" max="16384" width="9" style="1"/>
  </cols>
  <sheetData>
    <row r="1" spans="1:13">
      <c r="A1" s="2" t="s">
        <v>187</v>
      </c>
    </row>
    <row r="3" spans="1:13">
      <c r="K3" s="3" t="e">
        <f>SUM(#REF!)-SUM(K6:K9)</f>
        <v>#REF!</v>
      </c>
      <c r="L3" s="3" t="e">
        <f>ROUND(K3,0)</f>
        <v>#REF!</v>
      </c>
      <c r="M3" s="1" t="s">
        <v>188</v>
      </c>
    </row>
    <row r="4" spans="1:13">
      <c r="K4" s="3"/>
      <c r="L4" s="3" t="e">
        <f>ROUNDUP(SUM(#REF!),0)</f>
        <v>#REF!</v>
      </c>
      <c r="M4" s="1" t="s">
        <v>189</v>
      </c>
    </row>
    <row r="5" spans="1:13">
      <c r="K5" s="3"/>
      <c r="L5" s="3"/>
    </row>
    <row r="6" spans="1:13">
      <c r="E6" s="4" t="str">
        <f t="array" ref="E6">IFERROR(INDEX(#REF!,MATCH(,COUNTIF($E$5:E5,#REF!),)),"")</f>
        <v/>
      </c>
      <c r="F6" s="1" t="e">
        <f>SUMIFS(#REF!,#REF!,E6)</f>
        <v>#REF!</v>
      </c>
      <c r="G6" s="1" t="e">
        <f>F6+ROW()/1000000</f>
        <v>#REF!</v>
      </c>
      <c r="H6" s="1" t="e">
        <f>LARGE($G$6:$G$21,1)</f>
        <v>#REF!</v>
      </c>
      <c r="I6" s="1" t="e">
        <f>MATCH(H6,$G$6:$G$21,0)</f>
        <v>#REF!</v>
      </c>
      <c r="J6" s="1" t="e">
        <f>INDEX($E$6:$E$21,$I6)</f>
        <v>#REF!</v>
      </c>
      <c r="K6" s="5" t="e">
        <f>INDEX($F$6:$F$21,$I6)</f>
        <v>#REF!</v>
      </c>
      <c r="L6" s="3" t="e">
        <f>ROUND(K6,0)</f>
        <v>#REF!</v>
      </c>
      <c r="M6" s="1" t="e">
        <f>UPPER(J6) &amp; "總計"</f>
        <v>#REF!</v>
      </c>
    </row>
    <row r="7" spans="1:13">
      <c r="E7" s="4" t="str">
        <f t="array" ref="E7">IFERROR(INDEX(#REF!,MATCH(,COUNTIF($E$5:E6,#REF!),)),"")</f>
        <v/>
      </c>
      <c r="F7" s="1" t="e">
        <f>SUMIFS(#REF!,#REF!,E7)</f>
        <v>#REF!</v>
      </c>
      <c r="G7" s="1" t="e">
        <f t="shared" ref="G7:G21" si="0">F7+ROW()/1000000</f>
        <v>#REF!</v>
      </c>
      <c r="H7" s="1" t="e">
        <f>LARGE($G$6:$G$21,2)</f>
        <v>#REF!</v>
      </c>
      <c r="I7" s="1" t="e">
        <f>MATCH(H7,$G$6:$G$21,0)</f>
        <v>#REF!</v>
      </c>
      <c r="J7" s="1" t="e">
        <f>INDEX($E$6:$E$21,$I7)</f>
        <v>#REF!</v>
      </c>
      <c r="K7" s="5" t="e">
        <f>INDEX($F$6:$F$21,$I7)</f>
        <v>#REF!</v>
      </c>
      <c r="L7" s="3" t="e">
        <f>ROUND(K7,0)</f>
        <v>#REF!</v>
      </c>
      <c r="M7" s="1" t="e">
        <f>UPPER(J7) &amp; "總計"</f>
        <v>#REF!</v>
      </c>
    </row>
    <row r="8" spans="1:13">
      <c r="E8" s="4" t="str">
        <f t="array" ref="E8">IFERROR(INDEX(#REF!,MATCH(,COUNTIF($E$5:E7,#REF!),)),"")</f>
        <v/>
      </c>
      <c r="F8" s="1" t="e">
        <f>SUMIFS(#REF!,#REF!,E8)</f>
        <v>#REF!</v>
      </c>
      <c r="G8" s="1" t="e">
        <f t="shared" si="0"/>
        <v>#REF!</v>
      </c>
      <c r="H8" s="1" t="e">
        <f>LARGE($G$6:$G$21,3)</f>
        <v>#REF!</v>
      </c>
      <c r="I8" s="1" t="e">
        <f>MATCH(H8,$G$6:$G$21,0)</f>
        <v>#REF!</v>
      </c>
      <c r="J8" s="1" t="e">
        <f>INDEX($E$6:$E$21,$I8)</f>
        <v>#REF!</v>
      </c>
      <c r="K8" s="5" t="e">
        <f>INDEX($F$6:$F$21,$I8)</f>
        <v>#REF!</v>
      </c>
      <c r="L8" s="3" t="e">
        <f>ROUND(K8,0)</f>
        <v>#REF!</v>
      </c>
      <c r="M8" s="1" t="e">
        <f>UPPER(J8) &amp; "總計"</f>
        <v>#REF!</v>
      </c>
    </row>
    <row r="9" spans="1:13">
      <c r="E9" s="4" t="str">
        <f t="array" ref="E9">IFERROR(INDEX(#REF!,MATCH(,COUNTIF($E$5:E8,#REF!),)),"")</f>
        <v/>
      </c>
      <c r="F9" s="1" t="e">
        <f>SUMIFS(#REF!,#REF!,E9)</f>
        <v>#REF!</v>
      </c>
      <c r="G9" s="1" t="e">
        <f t="shared" si="0"/>
        <v>#REF!</v>
      </c>
      <c r="H9" s="1" t="e">
        <f>LARGE($G$6:$G$21,4)</f>
        <v>#REF!</v>
      </c>
      <c r="I9" s="1" t="e">
        <f>MATCH(H9,$G$6:$G$21,0)</f>
        <v>#REF!</v>
      </c>
      <c r="J9" s="1" t="e">
        <f>INDEX($E$6:$E$21,$I9)</f>
        <v>#REF!</v>
      </c>
      <c r="K9" s="5" t="e">
        <f>INDEX($F$6:$F$21,$I9)</f>
        <v>#REF!</v>
      </c>
      <c r="L9" s="3" t="e">
        <f>ROUND(K9,0)</f>
        <v>#REF!</v>
      </c>
      <c r="M9" s="1" t="e">
        <f>UPPER(J9) &amp; "總計"</f>
        <v>#REF!</v>
      </c>
    </row>
    <row r="10" spans="1:13">
      <c r="E10" s="4" t="str">
        <f t="array" ref="E10">IFERROR(INDEX(#REF!,MATCH(,COUNTIF($E$5:E9,#REF!),)),"")</f>
        <v/>
      </c>
      <c r="F10" s="1" t="e">
        <f>SUMIFS(#REF!,#REF!,E10)</f>
        <v>#REF!</v>
      </c>
      <c r="G10" s="1" t="e">
        <f t="shared" si="0"/>
        <v>#REF!</v>
      </c>
      <c r="K10" s="6"/>
      <c r="L10" s="6"/>
    </row>
    <row r="11" spans="1:13">
      <c r="E11" s="4" t="str">
        <f t="array" ref="E11">IFERROR(INDEX(#REF!,MATCH(,COUNTIF($E$5:E10,#REF!),)),"")</f>
        <v/>
      </c>
      <c r="F11" s="1" t="e">
        <f>SUMIFS(#REF!,#REF!,E11)</f>
        <v>#REF!</v>
      </c>
      <c r="G11" s="1" t="e">
        <f t="shared" si="0"/>
        <v>#REF!</v>
      </c>
      <c r="K11" s="6"/>
      <c r="L11" s="6"/>
    </row>
    <row r="12" spans="1:13">
      <c r="E12" s="4" t="str">
        <f t="array" ref="E12">IFERROR(INDEX(#REF!,MATCH(,COUNTIF($E$5:E11,#REF!),)),"")</f>
        <v/>
      </c>
      <c r="F12" s="1" t="e">
        <f>SUMIFS(#REF!,#REF!,E12)</f>
        <v>#REF!</v>
      </c>
      <c r="G12" s="1" t="e">
        <f t="shared" si="0"/>
        <v>#REF!</v>
      </c>
      <c r="K12" s="6"/>
      <c r="L12" s="6"/>
    </row>
    <row r="13" spans="1:13">
      <c r="E13" s="4" t="str">
        <f t="array" ref="E13">IFERROR(INDEX(#REF!,MATCH(,COUNTIF($E$5:E12,#REF!),)),"")</f>
        <v/>
      </c>
      <c r="F13" s="1" t="e">
        <f>SUMIFS(#REF!,#REF!,E13)</f>
        <v>#REF!</v>
      </c>
      <c r="G13" s="1" t="e">
        <f t="shared" si="0"/>
        <v>#REF!</v>
      </c>
      <c r="K13" s="6"/>
      <c r="L13" s="6"/>
    </row>
    <row r="14" spans="1:13">
      <c r="E14" s="4" t="str">
        <f t="array" ref="E14">IFERROR(INDEX(#REF!,MATCH(,COUNTIF($E$5:E13,#REF!),)),"")</f>
        <v/>
      </c>
      <c r="F14" s="1" t="e">
        <f>SUMIFS(#REF!,#REF!,E14)</f>
        <v>#REF!</v>
      </c>
      <c r="G14" s="1" t="e">
        <f t="shared" si="0"/>
        <v>#REF!</v>
      </c>
      <c r="K14" s="6"/>
      <c r="L14" s="6"/>
    </row>
    <row r="15" spans="1:13">
      <c r="E15" s="4" t="str">
        <f t="array" ref="E15">IFERROR(INDEX(#REF!,MATCH(,COUNTIF($E$5:E14,#REF!),)),"")</f>
        <v/>
      </c>
      <c r="F15" s="1" t="e">
        <f>SUMIFS(#REF!,#REF!,E15)</f>
        <v>#REF!</v>
      </c>
      <c r="G15" s="1" t="e">
        <f t="shared" si="0"/>
        <v>#REF!</v>
      </c>
      <c r="K15" s="6"/>
      <c r="L15" s="6"/>
    </row>
    <row r="16" spans="1:13">
      <c r="E16" s="4" t="str">
        <f t="array" ref="E16">IFERROR(INDEX(#REF!,MATCH(,COUNTIF($E$5:E15,#REF!),)),"")</f>
        <v/>
      </c>
      <c r="F16" s="1" t="e">
        <f>SUMIFS(#REF!,#REF!,E16)</f>
        <v>#REF!</v>
      </c>
      <c r="G16" s="1" t="e">
        <f t="shared" si="0"/>
        <v>#REF!</v>
      </c>
      <c r="K16" s="6"/>
      <c r="L16" s="6"/>
    </row>
    <row r="17" spans="5:12">
      <c r="E17" s="4" t="str">
        <f t="array" ref="E17">IFERROR(INDEX(#REF!,MATCH(,COUNTIF($E$5:E16,#REF!),)),"")</f>
        <v/>
      </c>
      <c r="F17" s="1" t="e">
        <f>SUMIFS(#REF!,#REF!,E17)</f>
        <v>#REF!</v>
      </c>
      <c r="G17" s="1" t="e">
        <f t="shared" si="0"/>
        <v>#REF!</v>
      </c>
      <c r="K17" s="6"/>
      <c r="L17" s="6"/>
    </row>
    <row r="18" spans="5:12">
      <c r="E18" s="4" t="str">
        <f t="array" ref="E18">IFERROR(INDEX(#REF!,MATCH(,COUNTIF($E$5:E17,#REF!),)),"")</f>
        <v/>
      </c>
      <c r="F18" s="1" t="e">
        <f>SUMIFS(#REF!,#REF!,E18)</f>
        <v>#REF!</v>
      </c>
      <c r="G18" s="1" t="e">
        <f t="shared" si="0"/>
        <v>#REF!</v>
      </c>
      <c r="K18" s="6"/>
      <c r="L18" s="6"/>
    </row>
    <row r="19" spans="5:12">
      <c r="E19" s="4" t="str">
        <f t="array" ref="E19">IFERROR(INDEX(#REF!,MATCH(,COUNTIF($E$5:E18,#REF!),)),"")</f>
        <v/>
      </c>
      <c r="F19" s="1" t="e">
        <f>SUMIFS(#REF!,#REF!,E19)</f>
        <v>#REF!</v>
      </c>
      <c r="G19" s="1" t="e">
        <f t="shared" si="0"/>
        <v>#REF!</v>
      </c>
      <c r="K19" s="6"/>
      <c r="L19" s="6"/>
    </row>
    <row r="20" spans="5:12">
      <c r="E20" s="4" t="str">
        <f t="array" ref="E20">IFERROR(INDEX(#REF!,MATCH(,COUNTIF($E$5:E19,#REF!),)),"")</f>
        <v/>
      </c>
      <c r="F20" s="1" t="e">
        <f>SUMIFS(#REF!,#REF!,E20)</f>
        <v>#REF!</v>
      </c>
      <c r="G20" s="1" t="e">
        <f t="shared" si="0"/>
        <v>#REF!</v>
      </c>
      <c r="K20" s="6"/>
      <c r="L20" s="6"/>
    </row>
    <row r="21" spans="5:12">
      <c r="E21" s="4" t="str">
        <f t="array" ref="E21">IFERROR(INDEX(#REF!,MATCH(,COUNTIF($E$5:E20,#REF!),)),"")</f>
        <v/>
      </c>
      <c r="F21" s="1" t="e">
        <f>SUMIFS(#REF!,#REF!,E21)</f>
        <v>#REF!</v>
      </c>
      <c r="G21" s="1" t="e">
        <f t="shared" si="0"/>
        <v>#REF!</v>
      </c>
      <c r="K21" s="6"/>
      <c r="L21" s="6"/>
    </row>
  </sheetData>
  <phoneticPr fontId="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FBA89-C372-FD40-9271-18F0286DFD37}">
  <sheetPr>
    <tabColor rgb="FF00B050"/>
  </sheetPr>
  <dimension ref="A1:D11"/>
  <sheetViews>
    <sheetView zoomScale="168" workbookViewId="0">
      <selection activeCell="D5" sqref="D5"/>
    </sheetView>
  </sheetViews>
  <sheetFormatPr defaultColWidth="11" defaultRowHeight="13.15"/>
  <cols>
    <col min="1" max="1" width="19.35546875" bestFit="1" customWidth="1"/>
    <col min="2" max="2" width="12.85546875" bestFit="1" customWidth="1"/>
    <col min="3" max="3" width="6" style="101" bestFit="1" customWidth="1"/>
    <col min="4" max="4" width="52.5" bestFit="1" customWidth="1"/>
  </cols>
  <sheetData>
    <row r="1" spans="1:4" ht="16.5">
      <c r="A1" s="98" t="s">
        <v>190</v>
      </c>
      <c r="B1" s="99" t="s">
        <v>191</v>
      </c>
      <c r="C1" s="99" t="s">
        <v>192</v>
      </c>
      <c r="D1" s="99" t="s">
        <v>193</v>
      </c>
    </row>
    <row r="2" spans="1:4">
      <c r="A2" s="95" t="s">
        <v>171</v>
      </c>
      <c r="B2" s="96">
        <f>SUM('03 成本統計表'!$F$4:$F$12)+'03 成本統計表'!$F$15</f>
        <v>1030</v>
      </c>
      <c r="C2" s="100" t="s">
        <v>194</v>
      </c>
      <c r="D2" s="94" t="s">
        <v>195</v>
      </c>
    </row>
    <row r="3" spans="1:4">
      <c r="A3" s="97" t="s">
        <v>172</v>
      </c>
      <c r="B3" s="96">
        <f>'03 成本統計表'!F14</f>
        <v>363.59999999999997</v>
      </c>
      <c r="C3" s="100" t="s">
        <v>194</v>
      </c>
      <c r="D3" s="94" t="s">
        <v>196</v>
      </c>
    </row>
    <row r="4" spans="1:4">
      <c r="A4" s="97" t="s">
        <v>197</v>
      </c>
      <c r="B4" s="96">
        <f>SUM('03 成本統計表'!F4:F11)+'03 成本統計表'!F15</f>
        <v>1000</v>
      </c>
      <c r="C4" s="100" t="s">
        <v>194</v>
      </c>
      <c r="D4" s="94" t="s">
        <v>198</v>
      </c>
    </row>
    <row r="5" spans="1:4">
      <c r="A5" s="97" t="s">
        <v>199</v>
      </c>
      <c r="B5" s="96">
        <f>'03 成本統計表'!F12</f>
        <v>30</v>
      </c>
      <c r="C5" s="100" t="s">
        <v>194</v>
      </c>
      <c r="D5" s="94" t="s">
        <v>200</v>
      </c>
    </row>
    <row r="6" spans="1:4">
      <c r="A6" s="104" t="s">
        <v>201</v>
      </c>
      <c r="B6" s="94">
        <f>'03 成本統計表'!E3/4000</f>
        <v>0.5</v>
      </c>
      <c r="C6" s="102" t="s">
        <v>202</v>
      </c>
      <c r="D6" s="97" t="s">
        <v>203</v>
      </c>
    </row>
    <row r="7" spans="1:4">
      <c r="A7" s="104" t="s">
        <v>204</v>
      </c>
      <c r="B7" s="105">
        <f>(B6/B8)</f>
        <v>8.9798850574712642E-5</v>
      </c>
      <c r="C7" s="102" t="s">
        <v>205</v>
      </c>
      <c r="D7" s="97" t="s">
        <v>206</v>
      </c>
    </row>
    <row r="8" spans="1:4">
      <c r="A8" s="95" t="s">
        <v>207</v>
      </c>
      <c r="B8" s="94">
        <f>24*(247-15)</f>
        <v>5568</v>
      </c>
      <c r="C8" s="102" t="s">
        <v>202</v>
      </c>
      <c r="D8" s="97" t="s">
        <v>208</v>
      </c>
    </row>
    <row r="11" spans="1:4">
      <c r="D11" s="103"/>
    </row>
  </sheetData>
  <phoneticPr fontId="35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6CAA1849B2B84AB17CE40F2A204BFA" ma:contentTypeVersion="15" ma:contentTypeDescription="建立新的文件。" ma:contentTypeScope="" ma:versionID="c020b45258d1dfc6e1eee64a2752e0dd">
  <xsd:schema xmlns:xsd="http://www.w3.org/2001/XMLSchema" xmlns:xs="http://www.w3.org/2001/XMLSchema" xmlns:p="http://schemas.microsoft.com/office/2006/metadata/properties" xmlns:ns2="d1967425-76ce-483e-bad5-e0311762584f" xmlns:ns3="d9260a3c-cd3a-4011-8fae-302a230fba8e" targetNamespace="http://schemas.microsoft.com/office/2006/metadata/properties" ma:root="true" ma:fieldsID="65f5433575f1796915f2e07ab7fa4c3f" ns2:_="" ns3:_="">
    <xsd:import namespace="d1967425-76ce-483e-bad5-e0311762584f"/>
    <xsd:import namespace="d9260a3c-cd3a-4011-8fae-302a230fb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425-76ce-483e-bad5-e031176258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影像標籤" ma:readOnly="false" ma:fieldId="{5cf76f15-5ced-4ddc-b409-7134ff3c332f}" ma:taxonomyMulti="true" ma:sspId="1c8749e3-3bd0-4047-8a13-69933dc586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60a3c-cd3a-4011-8fae-302a230fba8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54bb4ac-1a37-42ca-a5be-0dadd92bc4cd}" ma:internalName="TaxCatchAll" ma:showField="CatchAllData" ma:web="d9260a3c-cd3a-4011-8fae-302a230fb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260a3c-cd3a-4011-8fae-302a230fba8e" xsi:nil="true"/>
    <lcf76f155ced4ddcb4097134ff3c332f xmlns="d1967425-76ce-483e-bad5-e0311762584f">
      <Terms xmlns="http://schemas.microsoft.com/office/infopath/2007/PartnerControls"/>
    </lcf76f155ced4ddcb4097134ff3c332f>
    <SharedWithUsers xmlns="d9260a3c-cd3a-4011-8fae-302a230fba8e">
      <UserInfo>
        <DisplayName>李建昌 Aaron</DisplayName>
        <AccountId>270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9B0C0FB-0A6D-49F3-B3FF-0B4A2AAE9E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BA1727-E20C-455E-8990-82A47738D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1967425-76ce-483e-bad5-e0311762584f"/>
    <ds:schemaRef ds:uri="d9260a3c-cd3a-4011-8fae-302a230fb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297D92C-F4B6-43E5-94A8-D1968EAD68F3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C10DB4BA-D981-4634-A900-9E1CBDF4847D}">
  <ds:schemaRefs>
    <ds:schemaRef ds:uri="http://schemas.microsoft.com/office/2006/metadata/properties"/>
    <ds:schemaRef ds:uri="http://schemas.microsoft.com/office/infopath/2007/PartnerControls"/>
    <ds:schemaRef ds:uri="d9260a3c-cd3a-4011-8fae-302a230fba8e"/>
    <ds:schemaRef ds:uri="d1967425-76ce-483e-bad5-e0311762584f"/>
  </ds:schemaRefs>
</ds:datastoreItem>
</file>

<file path=docMetadata/LabelInfo.xml><?xml version="1.0" encoding="utf-8"?>
<clbl:labelList xmlns:clbl="http://schemas.microsoft.com/office/2020/mipLabelMetadata">
  <clbl:label id="{b36f47b1-818c-45f0-921d-7e5e9a51a26b}" enabled="1" method="Privileged" siteId="{40d12886-d1b9-4650-82a9-8d2c66658fc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具名範圍</vt:lpstr>
      </vt:variant>
      <vt:variant>
        <vt:i4>5</vt:i4>
      </vt:variant>
    </vt:vector>
  </HeadingPairs>
  <TitlesOfParts>
    <vt:vector size="12" baseType="lpstr">
      <vt:lpstr>01參數設定</vt:lpstr>
      <vt:lpstr>03 成本統計表</vt:lpstr>
      <vt:lpstr>BOM</vt:lpstr>
      <vt:lpstr>報價分析</vt:lpstr>
      <vt:lpstr>標案分析</vt:lpstr>
      <vt:lpstr>計算</vt:lpstr>
      <vt:lpstr>管理分析</vt:lpstr>
      <vt:lpstr>BOM!Print_Titles</vt:lpstr>
      <vt:lpstr>標籤_本案及追加分析</vt:lpstr>
      <vt:lpstr>標籤_直接成本項目</vt:lpstr>
      <vt:lpstr>標籤_群組分類項目</vt:lpstr>
      <vt:lpstr>標籤_廠商分類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</dc:creator>
  <cp:keywords/>
  <dc:description/>
  <cp:lastModifiedBy>余欣倫 Ling</cp:lastModifiedBy>
  <cp:revision/>
  <dcterms:created xsi:type="dcterms:W3CDTF">2017-10-13T03:19:39Z</dcterms:created>
  <dcterms:modified xsi:type="dcterms:W3CDTF">2024-06-26T01:12:32Z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TC034274779991</vt:lpwstr>
  </property>
  <property fmtid="{D5CDD505-2E9C-101B-9397-08002B2CF9AE}" pid="3" name="ContentTypeId">
    <vt:lpwstr>0x0101006C6CAA1849B2B84AB17CE40F2A204BFA</vt:lpwstr>
  </property>
  <property fmtid="{D5CDD505-2E9C-101B-9397-08002B2CF9AE}" pid="4" name="MediaServiceImageTags">
    <vt:lpwstr/>
  </property>
</Properties>
</file>